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ev\yandex practicum\cpp\"/>
    </mc:Choice>
  </mc:AlternateContent>
  <xr:revisionPtr revIDLastSave="0" documentId="13_ncr:1_{A1CAE223-2247-4148-BF75-EAE36D4D8091}" xr6:coauthVersionLast="47" xr6:coauthVersionMax="47" xr10:uidLastSave="{00000000-0000-0000-0000-000000000000}"/>
  <bookViews>
    <workbookView xWindow="12990" yWindow="2535" windowWidth="25200" windowHeight="15405" activeTab="1" xr2:uid="{44FA8E17-D214-4C52-BEF6-0D2BBDF8B887}"/>
  </bookViews>
  <sheets>
    <sheet name="Лист1" sheetId="1" r:id="rId1"/>
    <sheet name="Лист2" sheetId="2" r:id="rId2"/>
  </sheets>
  <definedNames>
    <definedName name="_xlnm._FilterDatabase" localSheetId="1" hidden="1">Лист2!$C$2:$J$74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0" i="2" l="1"/>
  <c r="D74" i="2"/>
  <c r="D8" i="2"/>
  <c r="D7" i="2"/>
  <c r="D48" i="2"/>
  <c r="D30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9" i="2"/>
  <c r="D27" i="2"/>
  <c r="D28" i="2"/>
  <c r="D47" i="2"/>
  <c r="D49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6" i="2"/>
  <c r="D5" i="2"/>
  <c r="D4" i="2"/>
  <c r="D29" i="2"/>
  <c r="D51" i="2"/>
  <c r="D52" i="2"/>
  <c r="D53" i="2"/>
  <c r="D54" i="2"/>
  <c r="J54" i="2" s="1"/>
  <c r="D55" i="2"/>
  <c r="D56" i="2"/>
  <c r="D57" i="2"/>
  <c r="D58" i="2"/>
  <c r="D59" i="2"/>
  <c r="D60" i="2"/>
  <c r="D61" i="2"/>
  <c r="D62" i="2"/>
  <c r="D63" i="2"/>
  <c r="D64" i="2"/>
  <c r="D65" i="2"/>
  <c r="J65" i="2" s="1"/>
  <c r="D66" i="2"/>
  <c r="J66" i="2" s="1"/>
  <c r="D67" i="2"/>
  <c r="J67" i="2" s="1"/>
  <c r="D68" i="2"/>
  <c r="J68" i="2" s="1"/>
  <c r="D69" i="2"/>
  <c r="D70" i="2"/>
  <c r="D71" i="2"/>
  <c r="D72" i="2"/>
  <c r="D73" i="2"/>
  <c r="D26" i="2"/>
  <c r="J26" i="2" s="1"/>
  <c r="D3" i="2"/>
  <c r="BT20" i="1"/>
  <c r="BS20" i="1"/>
  <c r="BU20" i="1" s="1"/>
  <c r="BQ20" i="1"/>
  <c r="BP20" i="1"/>
  <c r="BT19" i="1"/>
  <c r="BS19" i="1"/>
  <c r="BQ19" i="1"/>
  <c r="BP19" i="1"/>
  <c r="BR19" i="1" s="1"/>
  <c r="BT18" i="1"/>
  <c r="BS18" i="1"/>
  <c r="BU18" i="1" s="1"/>
  <c r="BQ18" i="1"/>
  <c r="BP18" i="1"/>
  <c r="BT17" i="1"/>
  <c r="BS17" i="1"/>
  <c r="BQ17" i="1"/>
  <c r="BP17" i="1"/>
  <c r="BR17" i="1" s="1"/>
  <c r="BT16" i="1"/>
  <c r="BS16" i="1"/>
  <c r="BQ16" i="1"/>
  <c r="BP16" i="1"/>
  <c r="BT15" i="1"/>
  <c r="BS15" i="1"/>
  <c r="BU15" i="1" s="1"/>
  <c r="BQ15" i="1"/>
  <c r="BP15" i="1"/>
  <c r="BR15" i="1" s="1"/>
  <c r="BT14" i="1"/>
  <c r="BS14" i="1"/>
  <c r="BU14" i="1" s="1"/>
  <c r="BQ14" i="1"/>
  <c r="BP14" i="1"/>
  <c r="BT13" i="1"/>
  <c r="BS13" i="1"/>
  <c r="BU13" i="1" s="1"/>
  <c r="BQ13" i="1"/>
  <c r="BP13" i="1"/>
  <c r="BT12" i="1"/>
  <c r="BS12" i="1"/>
  <c r="BQ12" i="1"/>
  <c r="BP12" i="1"/>
  <c r="BT11" i="1"/>
  <c r="BS11" i="1"/>
  <c r="BU11" i="1" s="1"/>
  <c r="BQ11" i="1"/>
  <c r="BP11" i="1"/>
  <c r="BT10" i="1"/>
  <c r="BS10" i="1"/>
  <c r="BQ10" i="1"/>
  <c r="BP10" i="1"/>
  <c r="BR10" i="1" s="1"/>
  <c r="BT9" i="1"/>
  <c r="BS9" i="1"/>
  <c r="BU9" i="1" s="1"/>
  <c r="BQ9" i="1"/>
  <c r="BP9" i="1"/>
  <c r="BT8" i="1"/>
  <c r="BS8" i="1"/>
  <c r="BU8" i="1" s="1"/>
  <c r="BQ8" i="1"/>
  <c r="BP8" i="1"/>
  <c r="BR8" i="1" s="1"/>
  <c r="BV8" i="1" s="1"/>
  <c r="BW8" i="1" s="1"/>
  <c r="BT7" i="1"/>
  <c r="BS7" i="1"/>
  <c r="BU7" i="1" s="1"/>
  <c r="BQ7" i="1"/>
  <c r="BP7" i="1"/>
  <c r="BT6" i="1"/>
  <c r="BS6" i="1"/>
  <c r="BU6" i="1" s="1"/>
  <c r="BQ6" i="1"/>
  <c r="BP6" i="1"/>
  <c r="BT5" i="1"/>
  <c r="BS5" i="1"/>
  <c r="BU5" i="1" s="1"/>
  <c r="BQ5" i="1"/>
  <c r="BP5" i="1"/>
  <c r="BR5" i="1" s="1"/>
  <c r="BT4" i="1"/>
  <c r="BS4" i="1"/>
  <c r="BU4" i="1" s="1"/>
  <c r="BQ4" i="1"/>
  <c r="BP4" i="1"/>
  <c r="BR4" i="1" s="1"/>
  <c r="BT3" i="1"/>
  <c r="BS3" i="1"/>
  <c r="BQ3" i="1"/>
  <c r="BP3" i="1"/>
  <c r="H54" i="2"/>
  <c r="I54" i="2"/>
  <c r="M54" i="2"/>
  <c r="H55" i="2"/>
  <c r="M55" i="2" s="1"/>
  <c r="I55" i="2"/>
  <c r="H56" i="2"/>
  <c r="M56" i="2" s="1"/>
  <c r="I56" i="2"/>
  <c r="H57" i="2"/>
  <c r="M57" i="2" s="1"/>
  <c r="I57" i="2"/>
  <c r="H58" i="2"/>
  <c r="M58" i="2" s="1"/>
  <c r="I58" i="2"/>
  <c r="H59" i="2"/>
  <c r="M59" i="2" s="1"/>
  <c r="I59" i="2"/>
  <c r="H60" i="2"/>
  <c r="M60" i="2" s="1"/>
  <c r="I60" i="2"/>
  <c r="H61" i="2"/>
  <c r="M61" i="2" s="1"/>
  <c r="I61" i="2"/>
  <c r="H62" i="2"/>
  <c r="M62" i="2" s="1"/>
  <c r="I62" i="2"/>
  <c r="H63" i="2"/>
  <c r="M63" i="2" s="1"/>
  <c r="I63" i="2"/>
  <c r="H64" i="2"/>
  <c r="M64" i="2" s="1"/>
  <c r="I64" i="2"/>
  <c r="H65" i="2"/>
  <c r="M65" i="2" s="1"/>
  <c r="I65" i="2"/>
  <c r="H66" i="2"/>
  <c r="I66" i="2"/>
  <c r="M66" i="2"/>
  <c r="H67" i="2"/>
  <c r="M67" i="2" s="1"/>
  <c r="I67" i="2"/>
  <c r="H68" i="2"/>
  <c r="M68" i="2" s="1"/>
  <c r="I68" i="2"/>
  <c r="H69" i="2"/>
  <c r="M69" i="2" s="1"/>
  <c r="I69" i="2"/>
  <c r="H70" i="2"/>
  <c r="I70" i="2"/>
  <c r="M70" i="2"/>
  <c r="H71" i="2"/>
  <c r="M71" i="2" s="1"/>
  <c r="I71" i="2"/>
  <c r="H72" i="2"/>
  <c r="M72" i="2" s="1"/>
  <c r="I72" i="2"/>
  <c r="H73" i="2"/>
  <c r="I73" i="2"/>
  <c r="M73" i="2"/>
  <c r="H26" i="2"/>
  <c r="I26" i="2"/>
  <c r="BB20" i="1"/>
  <c r="BC20" i="1"/>
  <c r="BD20" i="1"/>
  <c r="BE20" i="1"/>
  <c r="BG20" i="1" s="1"/>
  <c r="BF20" i="1"/>
  <c r="AM20" i="1"/>
  <c r="AN20" i="1"/>
  <c r="AO20" i="1" s="1"/>
  <c r="AP20" i="1"/>
  <c r="AQ20" i="1"/>
  <c r="AR20" i="1" s="1"/>
  <c r="Y20" i="1"/>
  <c r="Z20" i="1"/>
  <c r="AA20" i="1"/>
  <c r="AE20" i="1" s="1"/>
  <c r="AF20" i="1" s="1"/>
  <c r="AB20" i="1"/>
  <c r="AC20" i="1"/>
  <c r="AD20" i="1" s="1"/>
  <c r="AG20" i="1" s="1"/>
  <c r="K20" i="1"/>
  <c r="L20" i="1"/>
  <c r="M20" i="1"/>
  <c r="N20" i="1"/>
  <c r="P20" i="1" s="1"/>
  <c r="S20" i="1" s="1"/>
  <c r="O20" i="1"/>
  <c r="Q20" i="1"/>
  <c r="R20" i="1" s="1"/>
  <c r="J64" i="2" l="1"/>
  <c r="J58" i="2"/>
  <c r="J59" i="2"/>
  <c r="J73" i="2"/>
  <c r="J57" i="2"/>
  <c r="J72" i="2"/>
  <c r="J56" i="2"/>
  <c r="J55" i="2"/>
  <c r="J69" i="2"/>
  <c r="J71" i="2"/>
  <c r="J61" i="2"/>
  <c r="J63" i="2"/>
  <c r="J62" i="2"/>
  <c r="J70" i="2"/>
  <c r="J60" i="2"/>
  <c r="BV19" i="1"/>
  <c r="BW19" i="1" s="1"/>
  <c r="BV15" i="1"/>
  <c r="BW15" i="1" s="1"/>
  <c r="BR16" i="1"/>
  <c r="BU17" i="1"/>
  <c r="BU16" i="1"/>
  <c r="BX15" i="1"/>
  <c r="BR12" i="1"/>
  <c r="BR3" i="1"/>
  <c r="BU3" i="1"/>
  <c r="BV10" i="1"/>
  <c r="BW10" i="1" s="1"/>
  <c r="BX8" i="1"/>
  <c r="BV13" i="1"/>
  <c r="BW13" i="1" s="1"/>
  <c r="BX16" i="1"/>
  <c r="BV12" i="1"/>
  <c r="BW12" i="1" s="1"/>
  <c r="BV6" i="1"/>
  <c r="BW6" i="1" s="1"/>
  <c r="BV17" i="1"/>
  <c r="BW17" i="1" s="1"/>
  <c r="BR9" i="1"/>
  <c r="BV9" i="1" s="1"/>
  <c r="BV5" i="1"/>
  <c r="BW5" i="1" s="1"/>
  <c r="BR18" i="1"/>
  <c r="BV18" i="1" s="1"/>
  <c r="BR7" i="1"/>
  <c r="BV7" i="1" s="1"/>
  <c r="BR20" i="1"/>
  <c r="BV20" i="1" s="1"/>
  <c r="BV3" i="1"/>
  <c r="BW3" i="1" s="1"/>
  <c r="BU12" i="1"/>
  <c r="BR13" i="1"/>
  <c r="BU10" i="1"/>
  <c r="BR14" i="1"/>
  <c r="BV14" i="1" s="1"/>
  <c r="BV16" i="1"/>
  <c r="BW16" i="1" s="1"/>
  <c r="BR6" i="1"/>
  <c r="BU19" i="1"/>
  <c r="BX19" i="1" s="1"/>
  <c r="BV4" i="1"/>
  <c r="BW4" i="1" s="1"/>
  <c r="BR11" i="1"/>
  <c r="BV11" i="1" s="1"/>
  <c r="BH20" i="1"/>
  <c r="BI20" i="1" s="1"/>
  <c r="AS20" i="1"/>
  <c r="AT20" i="1" s="1"/>
  <c r="H50" i="2"/>
  <c r="H74" i="2"/>
  <c r="M5" i="2" s="1"/>
  <c r="H8" i="2"/>
  <c r="M6" i="2" s="1"/>
  <c r="H7" i="2"/>
  <c r="M7" i="2" s="1"/>
  <c r="H48" i="2"/>
  <c r="M8" i="2" s="1"/>
  <c r="H30" i="2"/>
  <c r="H10" i="2"/>
  <c r="M10" i="2" s="1"/>
  <c r="H11" i="2"/>
  <c r="M11" i="2" s="1"/>
  <c r="H12" i="2"/>
  <c r="M12" i="2" s="1"/>
  <c r="H13" i="2"/>
  <c r="M13" i="2" s="1"/>
  <c r="H14" i="2"/>
  <c r="M14" i="2" s="1"/>
  <c r="H15" i="2"/>
  <c r="M15" i="2" s="1"/>
  <c r="H16" i="2"/>
  <c r="M16" i="2" s="1"/>
  <c r="H17" i="2"/>
  <c r="M17" i="2" s="1"/>
  <c r="H18" i="2"/>
  <c r="M18" i="2" s="1"/>
  <c r="H19" i="2"/>
  <c r="M19" i="2" s="1"/>
  <c r="H20" i="2"/>
  <c r="M20" i="2" s="1"/>
  <c r="H21" i="2"/>
  <c r="M21" i="2" s="1"/>
  <c r="H22" i="2"/>
  <c r="M22" i="2" s="1"/>
  <c r="H23" i="2"/>
  <c r="M23" i="2" s="1"/>
  <c r="H24" i="2"/>
  <c r="M24" i="2" s="1"/>
  <c r="H25" i="2"/>
  <c r="M25" i="2" s="1"/>
  <c r="H9" i="2"/>
  <c r="M26" i="2" s="1"/>
  <c r="H27" i="2"/>
  <c r="M27" i="2" s="1"/>
  <c r="H28" i="2"/>
  <c r="M28" i="2" s="1"/>
  <c r="H47" i="2"/>
  <c r="H49" i="2"/>
  <c r="H31" i="2"/>
  <c r="M31" i="2" s="1"/>
  <c r="H32" i="2"/>
  <c r="M32" i="2" s="1"/>
  <c r="H33" i="2"/>
  <c r="M33" i="2" s="1"/>
  <c r="H34" i="2"/>
  <c r="M34" i="2" s="1"/>
  <c r="H35" i="2"/>
  <c r="M35" i="2" s="1"/>
  <c r="H36" i="2"/>
  <c r="M36" i="2" s="1"/>
  <c r="H37" i="2"/>
  <c r="M37" i="2" s="1"/>
  <c r="H38" i="2"/>
  <c r="M38" i="2" s="1"/>
  <c r="H39" i="2"/>
  <c r="M39" i="2" s="1"/>
  <c r="H40" i="2"/>
  <c r="M40" i="2" s="1"/>
  <c r="H41" i="2"/>
  <c r="M41" i="2" s="1"/>
  <c r="H42" i="2"/>
  <c r="M42" i="2" s="1"/>
  <c r="H43" i="2"/>
  <c r="M43" i="2" s="1"/>
  <c r="H44" i="2"/>
  <c r="M44" i="2" s="1"/>
  <c r="H45" i="2"/>
  <c r="M45" i="2" s="1"/>
  <c r="H46" i="2"/>
  <c r="M46" i="2" s="1"/>
  <c r="H6" i="2"/>
  <c r="M47" i="2" s="1"/>
  <c r="H5" i="2"/>
  <c r="H4" i="2"/>
  <c r="M49" i="2" s="1"/>
  <c r="H29" i="2"/>
  <c r="M50" i="2" s="1"/>
  <c r="H51" i="2"/>
  <c r="M51" i="2" s="1"/>
  <c r="H52" i="2"/>
  <c r="M52" i="2" s="1"/>
  <c r="H53" i="2"/>
  <c r="M53" i="2" s="1"/>
  <c r="H3" i="2"/>
  <c r="M3" i="2" s="1"/>
  <c r="I17" i="2"/>
  <c r="J17" i="2" s="1"/>
  <c r="I15" i="2"/>
  <c r="J15" i="2" s="1"/>
  <c r="I14" i="2"/>
  <c r="J14" i="2" s="1"/>
  <c r="I13" i="2"/>
  <c r="J13" i="2" s="1"/>
  <c r="I12" i="2"/>
  <c r="J12" i="2" s="1"/>
  <c r="I10" i="2"/>
  <c r="J10" i="2" s="1"/>
  <c r="I28" i="2"/>
  <c r="J28" i="2" s="1"/>
  <c r="I7" i="2"/>
  <c r="J7" i="2" s="1"/>
  <c r="I48" i="2"/>
  <c r="J48" i="2" s="1"/>
  <c r="I4" i="2"/>
  <c r="J4" i="2" s="1"/>
  <c r="I6" i="2"/>
  <c r="J6" i="2" s="1"/>
  <c r="I33" i="2"/>
  <c r="J33" i="2" s="1"/>
  <c r="I32" i="2"/>
  <c r="J32" i="2" s="1"/>
  <c r="I31" i="2"/>
  <c r="J31" i="2" s="1"/>
  <c r="I49" i="2"/>
  <c r="J49" i="2" s="1"/>
  <c r="I46" i="2"/>
  <c r="J46" i="2" s="1"/>
  <c r="I9" i="2"/>
  <c r="J9" i="2" s="1"/>
  <c r="I30" i="2"/>
  <c r="J30" i="2" s="1"/>
  <c r="I23" i="2"/>
  <c r="J23" i="2" s="1"/>
  <c r="I34" i="2"/>
  <c r="J34" i="2" s="1"/>
  <c r="I22" i="2"/>
  <c r="J22" i="2" s="1"/>
  <c r="I21" i="2"/>
  <c r="J21" i="2" s="1"/>
  <c r="I18" i="2"/>
  <c r="J18" i="2" s="1"/>
  <c r="I3" i="2"/>
  <c r="J3" i="2" s="1"/>
  <c r="I16" i="2"/>
  <c r="J16" i="2" s="1"/>
  <c r="I45" i="2"/>
  <c r="J45" i="2" s="1"/>
  <c r="I19" i="2"/>
  <c r="J19" i="2" s="1"/>
  <c r="I11" i="2"/>
  <c r="J11" i="2" s="1"/>
  <c r="I36" i="2"/>
  <c r="J36" i="2" s="1"/>
  <c r="I35" i="2"/>
  <c r="J35" i="2" s="1"/>
  <c r="I20" i="2"/>
  <c r="J20" i="2" s="1"/>
  <c r="I24" i="2"/>
  <c r="J24" i="2" s="1"/>
  <c r="I27" i="2"/>
  <c r="J27" i="2" s="1"/>
  <c r="I47" i="2"/>
  <c r="J47" i="2" s="1"/>
  <c r="I42" i="2"/>
  <c r="J42" i="2" s="1"/>
  <c r="I43" i="2"/>
  <c r="J43" i="2" s="1"/>
  <c r="I44" i="2"/>
  <c r="J44" i="2" s="1"/>
  <c r="I8" i="2"/>
  <c r="J8" i="2" s="1"/>
  <c r="I74" i="2"/>
  <c r="J74" i="2" s="1"/>
  <c r="I50" i="2"/>
  <c r="J50" i="2" s="1"/>
  <c r="I25" i="2"/>
  <c r="J25" i="2" s="1"/>
  <c r="I5" i="2"/>
  <c r="J5" i="2" s="1"/>
  <c r="I39" i="2"/>
  <c r="J39" i="2" s="1"/>
  <c r="I38" i="2"/>
  <c r="J38" i="2" s="1"/>
  <c r="I37" i="2"/>
  <c r="J37" i="2" s="1"/>
  <c r="I40" i="2"/>
  <c r="J40" i="2" s="1"/>
  <c r="I41" i="2"/>
  <c r="J41" i="2" s="1"/>
  <c r="I29" i="2"/>
  <c r="J29" i="2" s="1"/>
  <c r="I51" i="2"/>
  <c r="J51" i="2" s="1"/>
  <c r="I52" i="2"/>
  <c r="J52" i="2" s="1"/>
  <c r="I53" i="2"/>
  <c r="J53" i="2" s="1"/>
  <c r="Q12" i="1"/>
  <c r="R12" i="1" s="1"/>
  <c r="O19" i="1"/>
  <c r="N19" i="1"/>
  <c r="L19" i="1"/>
  <c r="K19" i="1"/>
  <c r="O18" i="1"/>
  <c r="N18" i="1"/>
  <c r="P18" i="1" s="1"/>
  <c r="L18" i="1"/>
  <c r="K18" i="1"/>
  <c r="O17" i="1"/>
  <c r="N17" i="1"/>
  <c r="P17" i="1" s="1"/>
  <c r="L17" i="1"/>
  <c r="K17" i="1"/>
  <c r="O16" i="1"/>
  <c r="N16" i="1"/>
  <c r="P16" i="1" s="1"/>
  <c r="L16" i="1"/>
  <c r="K16" i="1"/>
  <c r="O15" i="1"/>
  <c r="N15" i="1"/>
  <c r="L15" i="1"/>
  <c r="K15" i="1"/>
  <c r="O14" i="1"/>
  <c r="N14" i="1"/>
  <c r="P14" i="1" s="1"/>
  <c r="L14" i="1"/>
  <c r="K14" i="1"/>
  <c r="O13" i="1"/>
  <c r="N13" i="1"/>
  <c r="P13" i="1" s="1"/>
  <c r="L13" i="1"/>
  <c r="K13" i="1"/>
  <c r="O12" i="1"/>
  <c r="N12" i="1"/>
  <c r="P12" i="1" s="1"/>
  <c r="L12" i="1"/>
  <c r="K12" i="1"/>
  <c r="M12" i="1" s="1"/>
  <c r="O11" i="1"/>
  <c r="N11" i="1"/>
  <c r="L11" i="1"/>
  <c r="K11" i="1"/>
  <c r="O10" i="1"/>
  <c r="N10" i="1"/>
  <c r="P10" i="1" s="1"/>
  <c r="L10" i="1"/>
  <c r="K10" i="1"/>
  <c r="O9" i="1"/>
  <c r="N9" i="1"/>
  <c r="P9" i="1" s="1"/>
  <c r="L9" i="1"/>
  <c r="K9" i="1"/>
  <c r="O8" i="1"/>
  <c r="N8" i="1"/>
  <c r="P8" i="1" s="1"/>
  <c r="L8" i="1"/>
  <c r="K8" i="1"/>
  <c r="O7" i="1"/>
  <c r="N7" i="1"/>
  <c r="L7" i="1"/>
  <c r="K7" i="1"/>
  <c r="O6" i="1"/>
  <c r="N6" i="1"/>
  <c r="P6" i="1" s="1"/>
  <c r="L6" i="1"/>
  <c r="K6" i="1"/>
  <c r="M6" i="1" s="1"/>
  <c r="O5" i="1"/>
  <c r="N5" i="1"/>
  <c r="P5" i="1" s="1"/>
  <c r="L5" i="1"/>
  <c r="K5" i="1"/>
  <c r="O4" i="1"/>
  <c r="N4" i="1"/>
  <c r="L4" i="1"/>
  <c r="K4" i="1"/>
  <c r="O3" i="1"/>
  <c r="N3" i="1"/>
  <c r="L3" i="1"/>
  <c r="K3" i="1"/>
  <c r="AC19" i="1"/>
  <c r="AB19" i="1"/>
  <c r="AD19" i="1" s="1"/>
  <c r="Z19" i="1"/>
  <c r="Y19" i="1"/>
  <c r="AC18" i="1"/>
  <c r="AB18" i="1"/>
  <c r="Z18" i="1"/>
  <c r="Y18" i="1"/>
  <c r="AC17" i="1"/>
  <c r="AB17" i="1"/>
  <c r="Z17" i="1"/>
  <c r="Y17" i="1"/>
  <c r="AC16" i="1"/>
  <c r="AB16" i="1"/>
  <c r="Z16" i="1"/>
  <c r="Y16" i="1"/>
  <c r="AC15" i="1"/>
  <c r="AB15" i="1"/>
  <c r="Z15" i="1"/>
  <c r="Y15" i="1"/>
  <c r="AC14" i="1"/>
  <c r="AB14" i="1"/>
  <c r="Z14" i="1"/>
  <c r="Y14" i="1"/>
  <c r="AC13" i="1"/>
  <c r="AB13" i="1"/>
  <c r="AD13" i="1" s="1"/>
  <c r="Z13" i="1"/>
  <c r="Y13" i="1"/>
  <c r="AC12" i="1"/>
  <c r="AB12" i="1"/>
  <c r="Z12" i="1"/>
  <c r="Y12" i="1"/>
  <c r="AC11" i="1"/>
  <c r="AB11" i="1"/>
  <c r="AD11" i="1" s="1"/>
  <c r="Z11" i="1"/>
  <c r="Y11" i="1"/>
  <c r="AC10" i="1"/>
  <c r="AB10" i="1"/>
  <c r="Z10" i="1"/>
  <c r="Y10" i="1"/>
  <c r="AC9" i="1"/>
  <c r="AB9" i="1"/>
  <c r="AD9" i="1" s="1"/>
  <c r="Z9" i="1"/>
  <c r="Y9" i="1"/>
  <c r="AC8" i="1"/>
  <c r="AB8" i="1"/>
  <c r="AD8" i="1" s="1"/>
  <c r="Z8" i="1"/>
  <c r="Y8" i="1"/>
  <c r="AC7" i="1"/>
  <c r="AB7" i="1"/>
  <c r="AD7" i="1" s="1"/>
  <c r="Z7" i="1"/>
  <c r="Y7" i="1"/>
  <c r="AC6" i="1"/>
  <c r="AB6" i="1"/>
  <c r="Z6" i="1"/>
  <c r="Y6" i="1"/>
  <c r="AC5" i="1"/>
  <c r="AB5" i="1"/>
  <c r="Z5" i="1"/>
  <c r="Y5" i="1"/>
  <c r="AC4" i="1"/>
  <c r="AB4" i="1"/>
  <c r="AD4" i="1" s="1"/>
  <c r="Z4" i="1"/>
  <c r="Y4" i="1"/>
  <c r="AC3" i="1"/>
  <c r="AB3" i="1"/>
  <c r="AD3" i="1" s="1"/>
  <c r="Z3" i="1"/>
  <c r="Y3" i="1"/>
  <c r="AM3" i="1"/>
  <c r="AQ19" i="1"/>
  <c r="AP19" i="1"/>
  <c r="AN19" i="1"/>
  <c r="AM19" i="1"/>
  <c r="AQ18" i="1"/>
  <c r="AP18" i="1"/>
  <c r="AN18" i="1"/>
  <c r="AM18" i="1"/>
  <c r="AQ17" i="1"/>
  <c r="AP17" i="1"/>
  <c r="AR17" i="1" s="1"/>
  <c r="AN17" i="1"/>
  <c r="AM17" i="1"/>
  <c r="AQ16" i="1"/>
  <c r="AP16" i="1"/>
  <c r="AN16" i="1"/>
  <c r="AM16" i="1"/>
  <c r="AQ15" i="1"/>
  <c r="AP15" i="1"/>
  <c r="AN15" i="1"/>
  <c r="AM15" i="1"/>
  <c r="AQ14" i="1"/>
  <c r="AP14" i="1"/>
  <c r="AN14" i="1"/>
  <c r="AM14" i="1"/>
  <c r="AQ13" i="1"/>
  <c r="AP13" i="1"/>
  <c r="AN13" i="1"/>
  <c r="AM13" i="1"/>
  <c r="AQ12" i="1"/>
  <c r="AP12" i="1"/>
  <c r="AN12" i="1"/>
  <c r="AM12" i="1"/>
  <c r="AQ11" i="1"/>
  <c r="AP11" i="1"/>
  <c r="AN11" i="1"/>
  <c r="AM11" i="1"/>
  <c r="AQ10" i="1"/>
  <c r="AP10" i="1"/>
  <c r="AN10" i="1"/>
  <c r="AM10" i="1"/>
  <c r="AO10" i="1" s="1"/>
  <c r="AQ9" i="1"/>
  <c r="AP9" i="1"/>
  <c r="AR9" i="1" s="1"/>
  <c r="AN9" i="1"/>
  <c r="AM9" i="1"/>
  <c r="AQ8" i="1"/>
  <c r="AP8" i="1"/>
  <c r="AN8" i="1"/>
  <c r="AM8" i="1"/>
  <c r="AQ7" i="1"/>
  <c r="AP7" i="1"/>
  <c r="AN7" i="1"/>
  <c r="AM7" i="1"/>
  <c r="AQ6" i="1"/>
  <c r="AP6" i="1"/>
  <c r="AN6" i="1"/>
  <c r="AM6" i="1"/>
  <c r="AQ5" i="1"/>
  <c r="AP5" i="1"/>
  <c r="AN5" i="1"/>
  <c r="AM5" i="1"/>
  <c r="AQ4" i="1"/>
  <c r="AP4" i="1"/>
  <c r="AN4" i="1"/>
  <c r="AM4" i="1"/>
  <c r="AQ3" i="1"/>
  <c r="AP3" i="1"/>
  <c r="AN3" i="1"/>
  <c r="BC4" i="1"/>
  <c r="BF4" i="1"/>
  <c r="BC5" i="1"/>
  <c r="BF5" i="1"/>
  <c r="BC6" i="1"/>
  <c r="BF6" i="1"/>
  <c r="BC7" i="1"/>
  <c r="BF7" i="1"/>
  <c r="BC8" i="1"/>
  <c r="BF8" i="1"/>
  <c r="BC9" i="1"/>
  <c r="BF9" i="1"/>
  <c r="BC10" i="1"/>
  <c r="BF10" i="1"/>
  <c r="BC11" i="1"/>
  <c r="BF11" i="1"/>
  <c r="BC12" i="1"/>
  <c r="BF12" i="1"/>
  <c r="BC13" i="1"/>
  <c r="BF13" i="1"/>
  <c r="BC14" i="1"/>
  <c r="BF14" i="1"/>
  <c r="BC15" i="1"/>
  <c r="BF15" i="1"/>
  <c r="BC16" i="1"/>
  <c r="BF16" i="1"/>
  <c r="BC17" i="1"/>
  <c r="BF17" i="1"/>
  <c r="BC18" i="1"/>
  <c r="BF18" i="1"/>
  <c r="BC19" i="1"/>
  <c r="BF19" i="1"/>
  <c r="BF3" i="1"/>
  <c r="BC3" i="1"/>
  <c r="M4" i="2" l="1"/>
  <c r="M9" i="2"/>
  <c r="M74" i="2"/>
  <c r="M48" i="2"/>
  <c r="M30" i="2"/>
  <c r="M29" i="2"/>
  <c r="BX12" i="1"/>
  <c r="BX6" i="1"/>
  <c r="BX3" i="1"/>
  <c r="BW7" i="1"/>
  <c r="BX7" i="1"/>
  <c r="BW11" i="1"/>
  <c r="BX11" i="1"/>
  <c r="BW9" i="1"/>
  <c r="BX9" i="1"/>
  <c r="BW14" i="1"/>
  <c r="BX14" i="1"/>
  <c r="BW20" i="1"/>
  <c r="BX20" i="1"/>
  <c r="BW18" i="1"/>
  <c r="BX18" i="1"/>
  <c r="BX4" i="1"/>
  <c r="BX13" i="1"/>
  <c r="BX5" i="1"/>
  <c r="BX10" i="1"/>
  <c r="BX17" i="1"/>
  <c r="BJ20" i="1"/>
  <c r="AU20" i="1"/>
  <c r="Q15" i="1"/>
  <c r="R15" i="1" s="1"/>
  <c r="Q17" i="1"/>
  <c r="R17" i="1" s="1"/>
  <c r="S17" i="1"/>
  <c r="S14" i="1"/>
  <c r="Q7" i="1"/>
  <c r="R7" i="1" s="1"/>
  <c r="AU17" i="1"/>
  <c r="AG3" i="1"/>
  <c r="Q9" i="1"/>
  <c r="R9" i="1" s="1"/>
  <c r="S12" i="1"/>
  <c r="AD15" i="1"/>
  <c r="AD16" i="1"/>
  <c r="P3" i="1"/>
  <c r="P7" i="1"/>
  <c r="P11" i="1"/>
  <c r="P15" i="1"/>
  <c r="S15" i="1" s="1"/>
  <c r="P19" i="1"/>
  <c r="Q6" i="1"/>
  <c r="Q5" i="1"/>
  <c r="AR6" i="1"/>
  <c r="AR10" i="1"/>
  <c r="AR14" i="1"/>
  <c r="AR18" i="1"/>
  <c r="AU18" i="1" s="1"/>
  <c r="AR7" i="1"/>
  <c r="AR11" i="1"/>
  <c r="M8" i="1"/>
  <c r="Q8" i="1" s="1"/>
  <c r="M10" i="1"/>
  <c r="Q10" i="1" s="1"/>
  <c r="P4" i="1"/>
  <c r="M14" i="1"/>
  <c r="Q14" i="1" s="1"/>
  <c r="R14" i="1" s="1"/>
  <c r="M4" i="1"/>
  <c r="Q4" i="1" s="1"/>
  <c r="R4" i="1" s="1"/>
  <c r="M18" i="1"/>
  <c r="Q18" i="1" s="1"/>
  <c r="M16" i="1"/>
  <c r="Q16" i="1" s="1"/>
  <c r="M11" i="1"/>
  <c r="Q11" i="1" s="1"/>
  <c r="R11" i="1" s="1"/>
  <c r="M19" i="1"/>
  <c r="Q19" i="1" s="1"/>
  <c r="R19" i="1" s="1"/>
  <c r="M13" i="1"/>
  <c r="Q13" i="1" s="1"/>
  <c r="M3" i="1"/>
  <c r="Q3" i="1" s="1"/>
  <c r="R3" i="1" s="1"/>
  <c r="M5" i="1"/>
  <c r="M7" i="1"/>
  <c r="M9" i="1"/>
  <c r="M17" i="1"/>
  <c r="M15" i="1"/>
  <c r="AR5" i="1"/>
  <c r="AU5" i="1" s="1"/>
  <c r="AD6" i="1"/>
  <c r="AD10" i="1"/>
  <c r="AD14" i="1"/>
  <c r="AA7" i="1"/>
  <c r="AE7" i="1" s="1"/>
  <c r="AA19" i="1"/>
  <c r="AE19" i="1" s="1"/>
  <c r="AR15" i="1"/>
  <c r="AU15" i="1" s="1"/>
  <c r="AA16" i="1"/>
  <c r="AE16" i="1" s="1"/>
  <c r="AF16" i="1" s="1"/>
  <c r="AA10" i="1"/>
  <c r="AE10" i="1" s="1"/>
  <c r="AF10" i="1" s="1"/>
  <c r="AA13" i="1"/>
  <c r="AE13" i="1" s="1"/>
  <c r="AD17" i="1"/>
  <c r="AR19" i="1"/>
  <c r="AD18" i="1"/>
  <c r="AR8" i="1"/>
  <c r="AR12" i="1"/>
  <c r="AR16" i="1"/>
  <c r="AD5" i="1"/>
  <c r="AG5" i="1" s="1"/>
  <c r="AR3" i="1"/>
  <c r="AU3" i="1" s="1"/>
  <c r="AD12" i="1"/>
  <c r="AA6" i="1"/>
  <c r="AE6" i="1" s="1"/>
  <c r="AF6" i="1" s="1"/>
  <c r="AA12" i="1"/>
  <c r="AE12" i="1" s="1"/>
  <c r="AF12" i="1" s="1"/>
  <c r="AA8" i="1"/>
  <c r="AE8" i="1" s="1"/>
  <c r="AA14" i="1"/>
  <c r="AE14" i="1" s="1"/>
  <c r="AF14" i="1" s="1"/>
  <c r="AA3" i="1"/>
  <c r="AE3" i="1" s="1"/>
  <c r="AF3" i="1" s="1"/>
  <c r="AA9" i="1"/>
  <c r="AE9" i="1" s="1"/>
  <c r="AA15" i="1"/>
  <c r="AE15" i="1" s="1"/>
  <c r="AF15" i="1" s="1"/>
  <c r="AA5" i="1"/>
  <c r="AE5" i="1" s="1"/>
  <c r="AF5" i="1" s="1"/>
  <c r="AA11" i="1"/>
  <c r="AE11" i="1" s="1"/>
  <c r="AF11" i="1" s="1"/>
  <c r="AA17" i="1"/>
  <c r="AE17" i="1" s="1"/>
  <c r="AF17" i="1" s="1"/>
  <c r="AA4" i="1"/>
  <c r="AE4" i="1" s="1"/>
  <c r="AA18" i="1"/>
  <c r="AE18" i="1" s="1"/>
  <c r="AF18" i="1" s="1"/>
  <c r="AR4" i="1"/>
  <c r="AR13" i="1"/>
  <c r="AU13" i="1" s="1"/>
  <c r="AO4" i="1"/>
  <c r="AS4" i="1" s="1"/>
  <c r="AT4" i="1" s="1"/>
  <c r="AO19" i="1"/>
  <c r="AS19" i="1" s="1"/>
  <c r="AT19" i="1" s="1"/>
  <c r="AO16" i="1"/>
  <c r="AS16" i="1" s="1"/>
  <c r="AT16" i="1" s="1"/>
  <c r="AO6" i="1"/>
  <c r="AS6" i="1" s="1"/>
  <c r="AT6" i="1" s="1"/>
  <c r="AO12" i="1"/>
  <c r="AS12" i="1" s="1"/>
  <c r="AT12" i="1" s="1"/>
  <c r="AO14" i="1"/>
  <c r="AS14" i="1" s="1"/>
  <c r="AT14" i="1" s="1"/>
  <c r="AO18" i="1"/>
  <c r="AS18" i="1" s="1"/>
  <c r="AT18" i="1" s="1"/>
  <c r="AS10" i="1"/>
  <c r="AT10" i="1" s="1"/>
  <c r="AO17" i="1"/>
  <c r="AS17" i="1" s="1"/>
  <c r="AT17" i="1" s="1"/>
  <c r="AO5" i="1"/>
  <c r="AS5" i="1" s="1"/>
  <c r="AT5" i="1" s="1"/>
  <c r="AO15" i="1"/>
  <c r="AS15" i="1" s="1"/>
  <c r="AT15" i="1" s="1"/>
  <c r="AO3" i="1"/>
  <c r="AS3" i="1" s="1"/>
  <c r="AT3" i="1" s="1"/>
  <c r="AO13" i="1"/>
  <c r="AS13" i="1" s="1"/>
  <c r="AT13" i="1" s="1"/>
  <c r="AO8" i="1"/>
  <c r="AS8" i="1" s="1"/>
  <c r="AT8" i="1" s="1"/>
  <c r="AO7" i="1"/>
  <c r="AS7" i="1" s="1"/>
  <c r="AT7" i="1" s="1"/>
  <c r="AO9" i="1"/>
  <c r="AS9" i="1" s="1"/>
  <c r="AO11" i="1"/>
  <c r="AS11" i="1" s="1"/>
  <c r="AT11" i="1" s="1"/>
  <c r="BB15" i="1"/>
  <c r="BE15" i="1"/>
  <c r="BG15" i="1" s="1"/>
  <c r="BE6" i="1"/>
  <c r="BG6" i="1" s="1"/>
  <c r="BB6" i="1"/>
  <c r="BB18" i="1"/>
  <c r="BE18" i="1"/>
  <c r="BG18" i="1" s="1"/>
  <c r="BB10" i="1"/>
  <c r="BE10" i="1"/>
  <c r="BG10" i="1" s="1"/>
  <c r="BB13" i="1"/>
  <c r="BE13" i="1"/>
  <c r="BG13" i="1" s="1"/>
  <c r="BE16" i="1"/>
  <c r="BG16" i="1" s="1"/>
  <c r="BB16" i="1"/>
  <c r="BE14" i="1"/>
  <c r="BG14" i="1" s="1"/>
  <c r="BB14" i="1"/>
  <c r="BE19" i="1"/>
  <c r="BG19" i="1" s="1"/>
  <c r="BB19" i="1"/>
  <c r="BE12" i="1"/>
  <c r="BG12" i="1" s="1"/>
  <c r="BB12" i="1"/>
  <c r="BB7" i="1"/>
  <c r="BE7" i="1"/>
  <c r="BG7" i="1" s="1"/>
  <c r="BE3" i="1"/>
  <c r="BG3" i="1" s="1"/>
  <c r="BB3" i="1"/>
  <c r="BD3" i="1" s="1"/>
  <c r="BB9" i="1"/>
  <c r="BE9" i="1"/>
  <c r="BG9" i="1" s="1"/>
  <c r="BB5" i="1"/>
  <c r="BE5" i="1"/>
  <c r="BG5" i="1" s="1"/>
  <c r="BB17" i="1"/>
  <c r="BE17" i="1"/>
  <c r="BG17" i="1" s="1"/>
  <c r="BB11" i="1"/>
  <c r="BE11" i="1"/>
  <c r="BG11" i="1" s="1"/>
  <c r="BB8" i="1"/>
  <c r="BE8" i="1"/>
  <c r="BG8" i="1" s="1"/>
  <c r="BB4" i="1"/>
  <c r="BE4" i="1"/>
  <c r="BG4" i="1" s="1"/>
  <c r="AG11" i="1" l="1"/>
  <c r="R18" i="1"/>
  <c r="S18" i="1"/>
  <c r="AF19" i="1"/>
  <c r="AG19" i="1"/>
  <c r="AF7" i="1"/>
  <c r="AG7" i="1"/>
  <c r="AF13" i="1"/>
  <c r="AG13" i="1"/>
  <c r="R13" i="1"/>
  <c r="S13" i="1"/>
  <c r="R16" i="1"/>
  <c r="S16" i="1"/>
  <c r="R10" i="1"/>
  <c r="S10" i="1"/>
  <c r="BJ3" i="1"/>
  <c r="S3" i="1"/>
  <c r="R5" i="1"/>
  <c r="S5" i="1"/>
  <c r="AF8" i="1"/>
  <c r="AG8" i="1"/>
  <c r="AG15" i="1"/>
  <c r="BJ7" i="1"/>
  <c r="AG14" i="1"/>
  <c r="BJ8" i="1"/>
  <c r="S11" i="1"/>
  <c r="S7" i="1"/>
  <c r="AG12" i="1"/>
  <c r="AF4" i="1"/>
  <c r="AG4" i="1"/>
  <c r="AU7" i="1"/>
  <c r="AF9" i="1"/>
  <c r="AG9" i="1"/>
  <c r="R6" i="1"/>
  <c r="S6" i="1"/>
  <c r="AT9" i="1"/>
  <c r="AU9" i="1"/>
  <c r="AG10" i="1"/>
  <c r="AG6" i="1"/>
  <c r="BJ16" i="1"/>
  <c r="AG18" i="1"/>
  <c r="AU14" i="1"/>
  <c r="BJ15" i="1"/>
  <c r="AU4" i="1"/>
  <c r="AG16" i="1"/>
  <c r="AU16" i="1"/>
  <c r="AU12" i="1"/>
  <c r="AU19" i="1"/>
  <c r="AU10" i="1"/>
  <c r="BJ4" i="1"/>
  <c r="S19" i="1"/>
  <c r="S4" i="1"/>
  <c r="BJ17" i="1"/>
  <c r="R8" i="1"/>
  <c r="S8" i="1"/>
  <c r="AU11" i="1"/>
  <c r="BJ13" i="1"/>
  <c r="AU8" i="1"/>
  <c r="BH3" i="1"/>
  <c r="BI3" i="1" s="1"/>
  <c r="AG17" i="1"/>
  <c r="AU6" i="1"/>
  <c r="S9" i="1"/>
  <c r="BD19" i="1"/>
  <c r="BH19" i="1" s="1"/>
  <c r="BI19" i="1" s="1"/>
  <c r="BD14" i="1"/>
  <c r="BH14" i="1" s="1"/>
  <c r="BI14" i="1" s="1"/>
  <c r="BD17" i="1"/>
  <c r="BH17" i="1" s="1"/>
  <c r="BI17" i="1" s="1"/>
  <c r="BD8" i="1"/>
  <c r="BH8" i="1" s="1"/>
  <c r="BI8" i="1" s="1"/>
  <c r="BD10" i="1"/>
  <c r="BH10" i="1" s="1"/>
  <c r="BI10" i="1" s="1"/>
  <c r="BD13" i="1"/>
  <c r="BH13" i="1" s="1"/>
  <c r="BI13" i="1" s="1"/>
  <c r="BD9" i="1"/>
  <c r="BH9" i="1" s="1"/>
  <c r="BI9" i="1" s="1"/>
  <c r="BD18" i="1"/>
  <c r="BH18" i="1" s="1"/>
  <c r="BI18" i="1" s="1"/>
  <c r="BD12" i="1"/>
  <c r="BH12" i="1" s="1"/>
  <c r="BI12" i="1" s="1"/>
  <c r="BD11" i="1"/>
  <c r="BH11" i="1" s="1"/>
  <c r="BI11" i="1" s="1"/>
  <c r="BD16" i="1"/>
  <c r="BH16" i="1" s="1"/>
  <c r="BI16" i="1" s="1"/>
  <c r="BD5" i="1"/>
  <c r="BH5" i="1" s="1"/>
  <c r="BI5" i="1" s="1"/>
  <c r="BD6" i="1"/>
  <c r="BH6" i="1" s="1"/>
  <c r="BI6" i="1" s="1"/>
  <c r="BD7" i="1"/>
  <c r="BH7" i="1" s="1"/>
  <c r="BI7" i="1" s="1"/>
  <c r="BD4" i="1"/>
  <c r="BH4" i="1" s="1"/>
  <c r="BI4" i="1" s="1"/>
  <c r="BD15" i="1"/>
  <c r="BH15" i="1" s="1"/>
  <c r="BI15" i="1" s="1"/>
  <c r="BJ10" i="1" l="1"/>
  <c r="BJ11" i="1"/>
  <c r="BJ5" i="1"/>
  <c r="BJ14" i="1"/>
  <c r="BJ19" i="1"/>
  <c r="BJ12" i="1"/>
  <c r="BJ18" i="1"/>
  <c r="BJ6" i="1"/>
  <c r="BJ9" i="1"/>
</calcChain>
</file>

<file path=xl/sharedStrings.xml><?xml version="1.0" encoding="utf-8"?>
<sst xmlns="http://schemas.openxmlformats.org/spreadsheetml/2006/main" count="62" uniqueCount="22">
  <si>
    <t>V_len</t>
  </si>
  <si>
    <t>G1</t>
  </si>
  <si>
    <t>G2</t>
  </si>
  <si>
    <t>G0</t>
  </si>
  <si>
    <t>Gx</t>
  </si>
  <si>
    <t>Gy</t>
  </si>
  <si>
    <t>G3</t>
  </si>
  <si>
    <t>U_len</t>
  </si>
  <si>
    <t>Ux</t>
  </si>
  <si>
    <t>Uy</t>
  </si>
  <si>
    <t>l</t>
  </si>
  <si>
    <t>ratio</t>
  </si>
  <si>
    <t>x</t>
  </si>
  <si>
    <t>p</t>
  </si>
  <si>
    <t>in_projection</t>
  </si>
  <si>
    <t>captured</t>
  </si>
  <si>
    <t>Square</t>
  </si>
  <si>
    <t>Item</t>
  </si>
  <si>
    <t>Gatherer</t>
  </si>
  <si>
    <t>y</t>
  </si>
  <si>
    <t>Radius</t>
  </si>
  <si>
    <t>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</si>
</sst>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0000"/>
    <numFmt numFmtId="182" formatCode="0.0000000000000000"/>
  </numFmts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0" borderId="0" xfId="0" applyFill="1"/>
    <xf numFmtId="2" fontId="0" fillId="0" borderId="0" xfId="0" applyNumberFormat="1" applyFill="1"/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0" xfId="0" applyFill="1" applyBorder="1"/>
    <xf numFmtId="170" fontId="0" fillId="0" borderId="0" xfId="0" applyNumberFormat="1" applyFill="1" applyBorder="1"/>
    <xf numFmtId="2" fontId="0" fillId="0" borderId="0" xfId="0" applyNumberFormat="1" applyFill="1" applyBorder="1"/>
    <xf numFmtId="0" fontId="0" fillId="0" borderId="5" xfId="0" applyFill="1" applyBorder="1"/>
    <xf numFmtId="0" fontId="0" fillId="2" borderId="4" xfId="0" applyFill="1" applyBorder="1"/>
    <xf numFmtId="0" fontId="0" fillId="2" borderId="0" xfId="0" applyFill="1" applyBorder="1"/>
    <xf numFmtId="170" fontId="0" fillId="2" borderId="0" xfId="0" applyNumberFormat="1" applyFill="1" applyBorder="1"/>
    <xf numFmtId="2" fontId="0" fillId="2" borderId="0" xfId="0" applyNumberFormat="1" applyFill="1" applyBorder="1"/>
    <xf numFmtId="0" fontId="0" fillId="2" borderId="5" xfId="0" applyFill="1" applyBorder="1"/>
    <xf numFmtId="0" fontId="0" fillId="0" borderId="6" xfId="0" applyFill="1" applyBorder="1"/>
    <xf numFmtId="0" fontId="0" fillId="0" borderId="7" xfId="0" applyFill="1" applyBorder="1"/>
    <xf numFmtId="170" fontId="0" fillId="0" borderId="7" xfId="0" applyNumberFormat="1" applyFill="1" applyBorder="1"/>
    <xf numFmtId="2" fontId="0" fillId="0" borderId="7" xfId="0" applyNumberFormat="1" applyFill="1" applyBorder="1"/>
    <xf numFmtId="0" fontId="0" fillId="0" borderId="8" xfId="0" applyFill="1" applyBorder="1"/>
    <xf numFmtId="0" fontId="0" fillId="3" borderId="0" xfId="0" applyFill="1"/>
    <xf numFmtId="2" fontId="0" fillId="3" borderId="0" xfId="0" applyNumberFormat="1" applyFill="1"/>
    <xf numFmtId="0" fontId="0" fillId="3" borderId="4" xfId="0" applyFill="1" applyBorder="1"/>
    <xf numFmtId="0" fontId="0" fillId="3" borderId="0" xfId="0" applyFill="1" applyBorder="1"/>
    <xf numFmtId="170" fontId="0" fillId="3" borderId="0" xfId="0" applyNumberFormat="1" applyFill="1" applyBorder="1"/>
    <xf numFmtId="2" fontId="0" fillId="3" borderId="0" xfId="0" applyNumberFormat="1" applyFill="1" applyBorder="1"/>
    <xf numFmtId="0" fontId="0" fillId="3" borderId="5" xfId="0" applyFill="1" applyBorder="1"/>
    <xf numFmtId="0" fontId="0" fillId="4" borderId="0" xfId="0" applyFill="1"/>
    <xf numFmtId="2" fontId="0" fillId="4" borderId="0" xfId="0" applyNumberFormat="1" applyFill="1"/>
    <xf numFmtId="0" fontId="0" fillId="4" borderId="4" xfId="0" applyFill="1" applyBorder="1"/>
    <xf numFmtId="0" fontId="0" fillId="4" borderId="0" xfId="0" applyFill="1" applyBorder="1"/>
    <xf numFmtId="170" fontId="0" fillId="4" borderId="0" xfId="0" applyNumberFormat="1" applyFill="1" applyBorder="1"/>
    <xf numFmtId="2" fontId="0" fillId="4" borderId="0" xfId="0" applyNumberFormat="1" applyFill="1" applyBorder="1"/>
    <xf numFmtId="0" fontId="0" fillId="4" borderId="5" xfId="0" applyFill="1" applyBorder="1"/>
    <xf numFmtId="18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6694B-2415-4FA3-A9E9-7CCB3B9F35A0}">
  <dimension ref="B1:BX21"/>
  <sheetViews>
    <sheetView workbookViewId="0">
      <selection activeCell="D20" sqref="D20"/>
    </sheetView>
  </sheetViews>
  <sheetFormatPr defaultRowHeight="15" x14ac:dyDescent="0.25"/>
  <cols>
    <col min="1" max="1" width="5.5703125" customWidth="1"/>
    <col min="2" max="2" width="5.7109375" customWidth="1"/>
    <col min="3" max="3" width="6.7109375" style="1" customWidth="1"/>
    <col min="4" max="4" width="6.28515625" style="1" customWidth="1"/>
    <col min="5" max="5" width="10.7109375" style="1" customWidth="1"/>
    <col min="7" max="7" width="3.28515625" bestFit="1" customWidth="1"/>
    <col min="8" max="10" width="2" bestFit="1" customWidth="1"/>
    <col min="11" max="12" width="3.28515625" bestFit="1" customWidth="1"/>
    <col min="13" max="13" width="7.5703125" bestFit="1" customWidth="1"/>
    <col min="14" max="14" width="5.28515625" bestFit="1" customWidth="1"/>
    <col min="15" max="15" width="5.5703125" bestFit="1" customWidth="1"/>
    <col min="16" max="16" width="12" bestFit="1" customWidth="1"/>
    <col min="17" max="17" width="2" bestFit="1" customWidth="1"/>
    <col min="18" max="18" width="5.140625" bestFit="1" customWidth="1"/>
    <col min="19" max="19" width="12" bestFit="1" customWidth="1"/>
    <col min="21" max="21" width="4" bestFit="1" customWidth="1"/>
    <col min="22" max="22" width="2" bestFit="1" customWidth="1"/>
    <col min="23" max="24" width="3" bestFit="1" customWidth="1"/>
    <col min="25" max="25" width="4" bestFit="1" customWidth="1"/>
    <col min="26" max="26" width="3.28515625" bestFit="1" customWidth="1"/>
    <col min="27" max="27" width="8.5703125" bestFit="1" customWidth="1"/>
    <col min="28" max="29" width="5.5703125" bestFit="1" customWidth="1"/>
    <col min="30" max="30" width="12" bestFit="1" customWidth="1"/>
    <col min="31" max="32" width="12.7109375" bestFit="1" customWidth="1"/>
    <col min="33" max="33" width="12" bestFit="1" customWidth="1"/>
    <col min="35" max="35" width="3.28515625" bestFit="1" customWidth="1"/>
    <col min="36" max="37" width="2" bestFit="1" customWidth="1"/>
    <col min="38" max="38" width="3" bestFit="1" customWidth="1"/>
    <col min="39" max="40" width="3.28515625" bestFit="1" customWidth="1"/>
    <col min="41" max="41" width="7.5703125" bestFit="1" customWidth="1"/>
    <col min="42" max="43" width="5.28515625" bestFit="1" customWidth="1"/>
    <col min="44" max="44" width="12" bestFit="1" customWidth="1"/>
    <col min="45" max="45" width="12.7109375" bestFit="1" customWidth="1"/>
    <col min="46" max="47" width="12" bestFit="1" customWidth="1"/>
    <col min="50" max="51" width="4" bestFit="1" customWidth="1"/>
    <col min="52" max="52" width="5" bestFit="1" customWidth="1"/>
    <col min="53" max="53" width="3" bestFit="1" customWidth="1"/>
    <col min="54" max="54" width="3.28515625" bestFit="1" customWidth="1"/>
    <col min="55" max="55" width="4" bestFit="1" customWidth="1"/>
    <col min="56" max="56" width="8.5703125" bestFit="1" customWidth="1"/>
    <col min="57" max="57" width="5.5703125" bestFit="1" customWidth="1"/>
    <col min="58" max="58" width="5.28515625" bestFit="1" customWidth="1"/>
    <col min="59" max="59" width="12" bestFit="1" customWidth="1"/>
    <col min="60" max="61" width="12.7109375" bestFit="1" customWidth="1"/>
    <col min="62" max="62" width="12" bestFit="1" customWidth="1"/>
  </cols>
  <sheetData>
    <row r="1" spans="2:76" s="4" customFormat="1" ht="15.75" thickBot="1" x14ac:dyDescent="0.3">
      <c r="C1" s="5"/>
      <c r="D1" s="5"/>
      <c r="E1" s="5"/>
    </row>
    <row r="2" spans="2:76" s="4" customFormat="1" x14ac:dyDescent="0.25">
      <c r="B2" s="4" t="s">
        <v>17</v>
      </c>
      <c r="C2" s="5" t="s">
        <v>12</v>
      </c>
      <c r="D2" s="5" t="s">
        <v>19</v>
      </c>
      <c r="E2" s="5" t="s">
        <v>20</v>
      </c>
      <c r="G2" s="6" t="s">
        <v>3</v>
      </c>
      <c r="H2" s="7"/>
      <c r="I2" s="7"/>
      <c r="J2" s="7"/>
      <c r="K2" s="7" t="s">
        <v>4</v>
      </c>
      <c r="L2" s="7" t="s">
        <v>5</v>
      </c>
      <c r="M2" s="7" t="s">
        <v>0</v>
      </c>
      <c r="N2" s="7" t="s">
        <v>8</v>
      </c>
      <c r="O2" s="7" t="s">
        <v>9</v>
      </c>
      <c r="P2" s="7" t="s">
        <v>7</v>
      </c>
      <c r="Q2" s="7" t="s">
        <v>10</v>
      </c>
      <c r="R2" s="7" t="s">
        <v>11</v>
      </c>
      <c r="S2" s="8" t="s">
        <v>13</v>
      </c>
      <c r="U2" s="6" t="s">
        <v>1</v>
      </c>
      <c r="V2" s="7"/>
      <c r="W2" s="7"/>
      <c r="X2" s="7"/>
      <c r="Y2" s="7" t="s">
        <v>4</v>
      </c>
      <c r="Z2" s="7" t="s">
        <v>5</v>
      </c>
      <c r="AA2" s="7" t="s">
        <v>0</v>
      </c>
      <c r="AB2" s="7" t="s">
        <v>8</v>
      </c>
      <c r="AC2" s="7" t="s">
        <v>9</v>
      </c>
      <c r="AD2" s="7" t="s">
        <v>7</v>
      </c>
      <c r="AE2" s="7" t="s">
        <v>10</v>
      </c>
      <c r="AF2" s="7" t="s">
        <v>11</v>
      </c>
      <c r="AG2" s="8" t="s">
        <v>13</v>
      </c>
      <c r="AI2" s="6" t="s">
        <v>2</v>
      </c>
      <c r="AJ2" s="7"/>
      <c r="AK2" s="7"/>
      <c r="AL2" s="7"/>
      <c r="AM2" s="7" t="s">
        <v>4</v>
      </c>
      <c r="AN2" s="7" t="s">
        <v>5</v>
      </c>
      <c r="AO2" s="7" t="s">
        <v>0</v>
      </c>
      <c r="AP2" s="7" t="s">
        <v>8</v>
      </c>
      <c r="AQ2" s="7" t="s">
        <v>9</v>
      </c>
      <c r="AR2" s="7" t="s">
        <v>7</v>
      </c>
      <c r="AS2" s="7" t="s">
        <v>10</v>
      </c>
      <c r="AT2" s="7" t="s">
        <v>11</v>
      </c>
      <c r="AU2" s="8" t="s">
        <v>13</v>
      </c>
      <c r="AX2" s="6" t="s">
        <v>6</v>
      </c>
      <c r="AY2" s="7"/>
      <c r="AZ2" s="7"/>
      <c r="BA2" s="7"/>
      <c r="BB2" s="7" t="s">
        <v>4</v>
      </c>
      <c r="BC2" s="7" t="s">
        <v>5</v>
      </c>
      <c r="BD2" s="7" t="s">
        <v>0</v>
      </c>
      <c r="BE2" s="7" t="s">
        <v>8</v>
      </c>
      <c r="BF2" s="7" t="s">
        <v>9</v>
      </c>
      <c r="BG2" s="7" t="s">
        <v>7</v>
      </c>
      <c r="BH2" s="7" t="s">
        <v>10</v>
      </c>
      <c r="BI2" s="7" t="s">
        <v>11</v>
      </c>
      <c r="BJ2" s="8" t="s">
        <v>13</v>
      </c>
      <c r="BL2" s="6" t="s">
        <v>21</v>
      </c>
      <c r="BM2" s="7"/>
      <c r="BN2" s="7"/>
      <c r="BO2" s="7"/>
      <c r="BP2" s="7" t="s">
        <v>4</v>
      </c>
      <c r="BQ2" s="7" t="s">
        <v>5</v>
      </c>
      <c r="BR2" s="7" t="s">
        <v>0</v>
      </c>
      <c r="BS2" s="7" t="s">
        <v>8</v>
      </c>
      <c r="BT2" s="7" t="s">
        <v>9</v>
      </c>
      <c r="BU2" s="7" t="s">
        <v>7</v>
      </c>
      <c r="BV2" s="7" t="s">
        <v>10</v>
      </c>
      <c r="BW2" s="7" t="s">
        <v>11</v>
      </c>
      <c r="BX2" s="8" t="s">
        <v>13</v>
      </c>
    </row>
    <row r="3" spans="2:76" s="4" customFormat="1" x14ac:dyDescent="0.25">
      <c r="B3" s="4">
        <v>0</v>
      </c>
      <c r="C3" s="5">
        <v>6.5</v>
      </c>
      <c r="D3" s="5">
        <v>10.5</v>
      </c>
      <c r="E3" s="5">
        <v>0</v>
      </c>
      <c r="G3" s="9">
        <v>8</v>
      </c>
      <c r="H3" s="10">
        <v>2</v>
      </c>
      <c r="I3" s="10">
        <v>8</v>
      </c>
      <c r="J3" s="10">
        <v>2</v>
      </c>
      <c r="K3" s="10">
        <f>I3-G3</f>
        <v>0</v>
      </c>
      <c r="L3" s="10">
        <f>J3-H3</f>
        <v>0</v>
      </c>
      <c r="M3" s="11">
        <f>SQRT(K3^2+L3^2)</f>
        <v>0</v>
      </c>
      <c r="N3" s="12">
        <f>$C3-G3</f>
        <v>-1.5</v>
      </c>
      <c r="O3" s="12">
        <f>$D3-H3</f>
        <v>8.5</v>
      </c>
      <c r="P3" s="10">
        <f>SQRT(N3^2+O3^2)</f>
        <v>8.6313382508160341</v>
      </c>
      <c r="Q3" s="10">
        <f>IFERROR((K3*N3+L3*O3)/M3,0)</f>
        <v>0</v>
      </c>
      <c r="R3" s="10">
        <f>IFERROR(Q3/M3,0)</f>
        <v>0</v>
      </c>
      <c r="S3" s="13">
        <f t="shared" ref="S3:S12" si="0">SQRT(P3^2-Q3^2)</f>
        <v>8.6313382508160341</v>
      </c>
      <c r="U3" s="9">
        <v>2.5</v>
      </c>
      <c r="V3" s="10">
        <v>2</v>
      </c>
      <c r="W3" s="10">
        <v>10</v>
      </c>
      <c r="X3" s="10">
        <v>8</v>
      </c>
      <c r="Y3" s="10">
        <f>W3-U3</f>
        <v>7.5</v>
      </c>
      <c r="Z3" s="10">
        <f>X3-V3</f>
        <v>6</v>
      </c>
      <c r="AA3" s="11">
        <f>SQRT(Y3^2+Z3^2)</f>
        <v>9.6046863561492728</v>
      </c>
      <c r="AB3" s="12">
        <f>$C3-U3</f>
        <v>4</v>
      </c>
      <c r="AC3" s="12">
        <f>$D3-V3</f>
        <v>8.5</v>
      </c>
      <c r="AD3" s="10">
        <f>SQRT(AB3^2+AC3^2)</f>
        <v>9.3941471140279678</v>
      </c>
      <c r="AE3" s="10">
        <f>(Y3*AB3+Z3*AC3)/AA3</f>
        <v>8.4333831419847272</v>
      </c>
      <c r="AF3" s="10">
        <f>AE3/AA3</f>
        <v>0.87804878048780488</v>
      </c>
      <c r="AG3" s="13">
        <f t="shared" ref="AG3:AG12" si="1">SQRT(AD3^2-AE3^2)</f>
        <v>4.1386046900480622</v>
      </c>
      <c r="AI3" s="9">
        <v>11</v>
      </c>
      <c r="AJ3" s="10">
        <v>5</v>
      </c>
      <c r="AK3" s="10">
        <v>4</v>
      </c>
      <c r="AL3" s="10">
        <v>10</v>
      </c>
      <c r="AM3" s="10">
        <f>AK3-AI3</f>
        <v>-7</v>
      </c>
      <c r="AN3" s="10">
        <f>AL3-AJ3</f>
        <v>5</v>
      </c>
      <c r="AO3" s="11">
        <f>SQRT(AM3^2+AN3^2)</f>
        <v>8.6023252670426267</v>
      </c>
      <c r="AP3" s="12">
        <f>$C3-AI3</f>
        <v>-4.5</v>
      </c>
      <c r="AQ3" s="12">
        <f>$D3-AJ3</f>
        <v>5.5</v>
      </c>
      <c r="AR3" s="10">
        <f>SQRT(AP3^2+AQ3^2)</f>
        <v>7.1063352017759476</v>
      </c>
      <c r="AS3" s="10">
        <f>(AM3*AP3+AN3*AQ3)/AO3</f>
        <v>6.8586106858853375</v>
      </c>
      <c r="AT3" s="10">
        <f>AS3/AO3</f>
        <v>0.79729729729729726</v>
      </c>
      <c r="AU3" s="13">
        <f t="shared" ref="AU3:AU12" si="2">SQRT(AR3^2-AS3^2)</f>
        <v>1.8599622199011085</v>
      </c>
      <c r="AX3" s="9">
        <v>4.5</v>
      </c>
      <c r="AY3" s="10">
        <v>7.5</v>
      </c>
      <c r="AZ3" s="10">
        <v>14.5</v>
      </c>
      <c r="BA3" s="10">
        <v>13</v>
      </c>
      <c r="BB3" s="10">
        <f>AZ3-AX3</f>
        <v>10</v>
      </c>
      <c r="BC3" s="10">
        <f>BA3-AY3</f>
        <v>5.5</v>
      </c>
      <c r="BD3" s="11">
        <f>SQRT(BB3^2+BC3^2)</f>
        <v>11.412712210513327</v>
      </c>
      <c r="BE3" s="12">
        <f>$C3-AX3</f>
        <v>2</v>
      </c>
      <c r="BF3" s="12">
        <f>$D3-AY3</f>
        <v>3</v>
      </c>
      <c r="BG3" s="10">
        <f>SQRT(BE3^2+BF3^2)</f>
        <v>3.6055512754639891</v>
      </c>
      <c r="BH3" s="10">
        <f>(BB3*BE3+BC3*BF3)/BD3</f>
        <v>3.1981880666697617</v>
      </c>
      <c r="BI3" s="10">
        <f>BH3/BD3</f>
        <v>0.28023032629558542</v>
      </c>
      <c r="BJ3" s="13">
        <f t="shared" ref="BJ3:BJ12" si="3">SQRT(BG3^2-BH3^2)</f>
        <v>1.6648102264856286</v>
      </c>
      <c r="BL3" s="9">
        <v>0</v>
      </c>
      <c r="BM3" s="10">
        <v>15</v>
      </c>
      <c r="BN3" s="10">
        <v>10</v>
      </c>
      <c r="BO3" s="10">
        <v>15</v>
      </c>
      <c r="BP3" s="10">
        <f>BN3-BL3</f>
        <v>10</v>
      </c>
      <c r="BQ3" s="10">
        <f>BO3-BM3</f>
        <v>0</v>
      </c>
      <c r="BR3" s="11">
        <f>SQRT(BP3^2+BQ3^2)</f>
        <v>10</v>
      </c>
      <c r="BS3" s="12">
        <f>$C3-BL3</f>
        <v>6.5</v>
      </c>
      <c r="BT3" s="12">
        <f>$D3-BM3</f>
        <v>-4.5</v>
      </c>
      <c r="BU3" s="10">
        <f>SQRT(BS3^2+BT3^2)</f>
        <v>7.9056941504209481</v>
      </c>
      <c r="BV3" s="10">
        <f>(BP3*BS3+BQ3*BT3)/BR3</f>
        <v>6.5</v>
      </c>
      <c r="BW3" s="10">
        <f>BV3/BR3</f>
        <v>0.65</v>
      </c>
      <c r="BX3" s="13">
        <f t="shared" ref="BX3:BX12" si="4">SQRT(BU3^2-BV3^2)</f>
        <v>4.5</v>
      </c>
    </row>
    <row r="4" spans="2:76" s="4" customFormat="1" x14ac:dyDescent="0.25">
      <c r="B4" s="4">
        <v>1</v>
      </c>
      <c r="C4" s="5">
        <v>8.5</v>
      </c>
      <c r="D4" s="5">
        <v>7.5</v>
      </c>
      <c r="E4" s="5">
        <v>0</v>
      </c>
      <c r="G4" s="9">
        <v>8</v>
      </c>
      <c r="H4" s="10">
        <v>2</v>
      </c>
      <c r="I4" s="10">
        <v>8</v>
      </c>
      <c r="J4" s="10">
        <v>2</v>
      </c>
      <c r="K4" s="10">
        <f t="shared" ref="K4:K19" si="5">I4-G4</f>
        <v>0</v>
      </c>
      <c r="L4" s="10">
        <f t="shared" ref="L4:L19" si="6">J4-H4</f>
        <v>0</v>
      </c>
      <c r="M4" s="11">
        <f t="shared" ref="M4:M19" si="7">SQRT(K4^2+L4^2)</f>
        <v>0</v>
      </c>
      <c r="N4" s="12">
        <f>$C4-G4</f>
        <v>0.5</v>
      </c>
      <c r="O4" s="12">
        <f>$D4-H4</f>
        <v>5.5</v>
      </c>
      <c r="P4" s="10">
        <f t="shared" ref="P4:P19" si="8">SQRT(N4^2+O4^2)</f>
        <v>5.5226805085936306</v>
      </c>
      <c r="Q4" s="10">
        <f t="shared" ref="Q4:Q19" si="9">IFERROR((K4*N4+L4*O4)/M4,0)</f>
        <v>0</v>
      </c>
      <c r="R4" s="10">
        <f t="shared" ref="R4:R19" si="10">IFERROR(Q4/M4,0)</f>
        <v>0</v>
      </c>
      <c r="S4" s="13">
        <f t="shared" si="0"/>
        <v>5.5226805085936306</v>
      </c>
      <c r="U4" s="9">
        <v>2.5</v>
      </c>
      <c r="V4" s="10">
        <v>2</v>
      </c>
      <c r="W4" s="10">
        <v>10</v>
      </c>
      <c r="X4" s="10">
        <v>8</v>
      </c>
      <c r="Y4" s="10">
        <f t="shared" ref="Y4:Y19" si="11">W4-U4</f>
        <v>7.5</v>
      </c>
      <c r="Z4" s="10">
        <f t="shared" ref="Z4:Z19" si="12">X4-V4</f>
        <v>6</v>
      </c>
      <c r="AA4" s="11">
        <f t="shared" ref="AA4:AA19" si="13">SQRT(Y4^2+Z4^2)</f>
        <v>9.6046863561492728</v>
      </c>
      <c r="AB4" s="12">
        <f>$C4-U4</f>
        <v>6</v>
      </c>
      <c r="AC4" s="12">
        <f>$D4-V4</f>
        <v>5.5</v>
      </c>
      <c r="AD4" s="10">
        <f t="shared" ref="AD4:AD19" si="14">SQRT(AB4^2+AC4^2)</f>
        <v>8.1394102980498531</v>
      </c>
      <c r="AE4" s="10">
        <f t="shared" ref="AE4:AE19" si="15">(Y4*AB4+Z4*AC4)/AA4</f>
        <v>8.1210356182075163</v>
      </c>
      <c r="AF4" s="10">
        <f t="shared" ref="AF4:AF19" si="16">AE4/AA4</f>
        <v>0.845528455284553</v>
      </c>
      <c r="AG4" s="13">
        <f t="shared" si="1"/>
        <v>0.54660816661010669</v>
      </c>
      <c r="AI4" s="9">
        <v>11</v>
      </c>
      <c r="AJ4" s="10">
        <v>5</v>
      </c>
      <c r="AK4" s="10">
        <v>4</v>
      </c>
      <c r="AL4" s="10">
        <v>10</v>
      </c>
      <c r="AM4" s="10">
        <f t="shared" ref="AM4:AM19" si="17">AK4-AI4</f>
        <v>-7</v>
      </c>
      <c r="AN4" s="10">
        <f t="shared" ref="AN4:AN19" si="18">AL4-AJ4</f>
        <v>5</v>
      </c>
      <c r="AO4" s="11">
        <f t="shared" ref="AO4:AO19" si="19">SQRT(AM4^2+AN4^2)</f>
        <v>8.6023252670426267</v>
      </c>
      <c r="AP4" s="12">
        <f>$C4-AI4</f>
        <v>-2.5</v>
      </c>
      <c r="AQ4" s="12">
        <f>$D4-AJ4</f>
        <v>2.5</v>
      </c>
      <c r="AR4" s="10">
        <f t="shared" ref="AR4:AR19" si="20">SQRT(AP4^2+AQ4^2)</f>
        <v>3.5355339059327378</v>
      </c>
      <c r="AS4" s="10">
        <f t="shared" ref="AS4:AS19" si="21">(AM4*AP4+AN4*AQ4)/AO4</f>
        <v>3.4874291623145783</v>
      </c>
      <c r="AT4" s="10">
        <f t="shared" ref="AT4:AT19" si="22">AS4/AO4</f>
        <v>0.40540540540540537</v>
      </c>
      <c r="AU4" s="13">
        <f t="shared" si="2"/>
        <v>0.58123819371909857</v>
      </c>
      <c r="AX4" s="9">
        <v>4.5</v>
      </c>
      <c r="AY4" s="10">
        <v>7.5</v>
      </c>
      <c r="AZ4" s="10">
        <v>14.5</v>
      </c>
      <c r="BA4" s="10">
        <v>13</v>
      </c>
      <c r="BB4" s="10">
        <f t="shared" ref="BB4:BB19" si="23">AZ4-AX4</f>
        <v>10</v>
      </c>
      <c r="BC4" s="10">
        <f t="shared" ref="BC4:BC19" si="24">BA4-AY4</f>
        <v>5.5</v>
      </c>
      <c r="BD4" s="11">
        <f t="shared" ref="BD4:BD19" si="25">SQRT(BB4^2+BC4^2)</f>
        <v>11.412712210513327</v>
      </c>
      <c r="BE4" s="12">
        <f>$C4-AX4</f>
        <v>4</v>
      </c>
      <c r="BF4" s="12">
        <f>$D4-AY4</f>
        <v>0</v>
      </c>
      <c r="BG4" s="10">
        <f t="shared" ref="BG4:BG19" si="26">SQRT(BE4^2+BF4^2)</f>
        <v>4</v>
      </c>
      <c r="BH4" s="10">
        <f t="shared" ref="BH4:BH19" si="27">(BB4*BE4+BC4*BF4)/BD4</f>
        <v>3.5048636347065885</v>
      </c>
      <c r="BI4" s="10">
        <f t="shared" ref="BI4:BI19" si="28">BH4/BD4</f>
        <v>0.30710172744721692</v>
      </c>
      <c r="BJ4" s="13">
        <f t="shared" si="3"/>
        <v>1.9276749990886226</v>
      </c>
      <c r="BL4" s="9">
        <v>0</v>
      </c>
      <c r="BM4" s="10">
        <v>15</v>
      </c>
      <c r="BN4" s="10">
        <v>10</v>
      </c>
      <c r="BO4" s="10">
        <v>15</v>
      </c>
      <c r="BP4" s="10">
        <f t="shared" ref="BP4:BP20" si="29">BN4-BL4</f>
        <v>10</v>
      </c>
      <c r="BQ4" s="10">
        <f t="shared" ref="BQ4:BQ20" si="30">BO4-BM4</f>
        <v>0</v>
      </c>
      <c r="BR4" s="11">
        <f t="shared" ref="BR4:BR20" si="31">SQRT(BP4^2+BQ4^2)</f>
        <v>10</v>
      </c>
      <c r="BS4" s="12">
        <f>$C4-BL4</f>
        <v>8.5</v>
      </c>
      <c r="BT4" s="12">
        <f>$D4-BM4</f>
        <v>-7.5</v>
      </c>
      <c r="BU4" s="10">
        <f t="shared" ref="BU4:BU20" si="32">SQRT(BS4^2+BT4^2)</f>
        <v>11.335784048754634</v>
      </c>
      <c r="BV4" s="10">
        <f t="shared" ref="BV4:BV20" si="33">(BP4*BS4+BQ4*BT4)/BR4</f>
        <v>8.5</v>
      </c>
      <c r="BW4" s="10">
        <f t="shared" ref="BW4:BW20" si="34">BV4/BR4</f>
        <v>0.85</v>
      </c>
      <c r="BX4" s="13">
        <f t="shared" si="4"/>
        <v>7.5</v>
      </c>
    </row>
    <row r="5" spans="2:76" s="4" customFormat="1" x14ac:dyDescent="0.25">
      <c r="B5" s="4">
        <v>2</v>
      </c>
      <c r="C5" s="5">
        <v>10</v>
      </c>
      <c r="D5" s="5">
        <v>7.5</v>
      </c>
      <c r="E5" s="5">
        <v>0</v>
      </c>
      <c r="G5" s="9">
        <v>8</v>
      </c>
      <c r="H5" s="10">
        <v>2</v>
      </c>
      <c r="I5" s="10">
        <v>8</v>
      </c>
      <c r="J5" s="10">
        <v>2</v>
      </c>
      <c r="K5" s="10">
        <f t="shared" si="5"/>
        <v>0</v>
      </c>
      <c r="L5" s="10">
        <f t="shared" si="6"/>
        <v>0</v>
      </c>
      <c r="M5" s="11">
        <f t="shared" si="7"/>
        <v>0</v>
      </c>
      <c r="N5" s="12">
        <f>$C5-G5</f>
        <v>2</v>
      </c>
      <c r="O5" s="12">
        <f>$D5-H5</f>
        <v>5.5</v>
      </c>
      <c r="P5" s="10">
        <f t="shared" si="8"/>
        <v>5.8523499553598128</v>
      </c>
      <c r="Q5" s="10">
        <f t="shared" si="9"/>
        <v>0</v>
      </c>
      <c r="R5" s="10">
        <f t="shared" si="10"/>
        <v>0</v>
      </c>
      <c r="S5" s="13">
        <f t="shared" si="0"/>
        <v>5.8523499553598128</v>
      </c>
      <c r="U5" s="9">
        <v>2.5</v>
      </c>
      <c r="V5" s="10">
        <v>2</v>
      </c>
      <c r="W5" s="10">
        <v>10</v>
      </c>
      <c r="X5" s="10">
        <v>8</v>
      </c>
      <c r="Y5" s="10">
        <f t="shared" si="11"/>
        <v>7.5</v>
      </c>
      <c r="Z5" s="10">
        <f t="shared" si="12"/>
        <v>6</v>
      </c>
      <c r="AA5" s="11">
        <f t="shared" si="13"/>
        <v>9.6046863561492728</v>
      </c>
      <c r="AB5" s="12">
        <f>$C5-U5</f>
        <v>7.5</v>
      </c>
      <c r="AC5" s="12">
        <f>$D5-V5</f>
        <v>5.5</v>
      </c>
      <c r="AD5" s="10">
        <f t="shared" si="14"/>
        <v>9.3005376188691375</v>
      </c>
      <c r="AE5" s="10">
        <f t="shared" si="15"/>
        <v>9.2923388323720619</v>
      </c>
      <c r="AF5" s="10">
        <f t="shared" si="16"/>
        <v>0.96747967479674812</v>
      </c>
      <c r="AG5" s="13">
        <f t="shared" si="1"/>
        <v>0.39043440472148322</v>
      </c>
      <c r="AI5" s="9">
        <v>11</v>
      </c>
      <c r="AJ5" s="10">
        <v>5</v>
      </c>
      <c r="AK5" s="10">
        <v>4</v>
      </c>
      <c r="AL5" s="10">
        <v>10</v>
      </c>
      <c r="AM5" s="10">
        <f t="shared" si="17"/>
        <v>-7</v>
      </c>
      <c r="AN5" s="10">
        <f t="shared" si="18"/>
        <v>5</v>
      </c>
      <c r="AO5" s="11">
        <f t="shared" si="19"/>
        <v>8.6023252670426267</v>
      </c>
      <c r="AP5" s="12">
        <f>$C5-AI5</f>
        <v>-1</v>
      </c>
      <c r="AQ5" s="12">
        <f>$D5-AJ5</f>
        <v>2.5</v>
      </c>
      <c r="AR5" s="10">
        <f t="shared" si="20"/>
        <v>2.6925824035672519</v>
      </c>
      <c r="AS5" s="10">
        <f t="shared" si="21"/>
        <v>2.2668289555044758</v>
      </c>
      <c r="AT5" s="10">
        <f t="shared" si="22"/>
        <v>0.26351351351351349</v>
      </c>
      <c r="AU5" s="13">
        <f t="shared" si="2"/>
        <v>1.4530954842977408</v>
      </c>
      <c r="AX5" s="9">
        <v>4.5</v>
      </c>
      <c r="AY5" s="10">
        <v>7.5</v>
      </c>
      <c r="AZ5" s="10">
        <v>14.5</v>
      </c>
      <c r="BA5" s="10">
        <v>13</v>
      </c>
      <c r="BB5" s="10">
        <f t="shared" si="23"/>
        <v>10</v>
      </c>
      <c r="BC5" s="10">
        <f t="shared" si="24"/>
        <v>5.5</v>
      </c>
      <c r="BD5" s="11">
        <f t="shared" si="25"/>
        <v>11.412712210513327</v>
      </c>
      <c r="BE5" s="12">
        <f>$C5-AX5</f>
        <v>5.5</v>
      </c>
      <c r="BF5" s="12">
        <f>$D5-AY5</f>
        <v>0</v>
      </c>
      <c r="BG5" s="10">
        <f t="shared" si="26"/>
        <v>5.5</v>
      </c>
      <c r="BH5" s="10">
        <f t="shared" si="27"/>
        <v>4.8191874977215585</v>
      </c>
      <c r="BI5" s="10">
        <f t="shared" si="28"/>
        <v>0.42226487523992323</v>
      </c>
      <c r="BJ5" s="13">
        <f t="shared" si="3"/>
        <v>2.6505531237468571</v>
      </c>
      <c r="BL5" s="9">
        <v>0</v>
      </c>
      <c r="BM5" s="10">
        <v>15</v>
      </c>
      <c r="BN5" s="10">
        <v>10</v>
      </c>
      <c r="BO5" s="10">
        <v>15</v>
      </c>
      <c r="BP5" s="10">
        <f t="shared" si="29"/>
        <v>10</v>
      </c>
      <c r="BQ5" s="10">
        <f t="shared" si="30"/>
        <v>0</v>
      </c>
      <c r="BR5" s="11">
        <f t="shared" si="31"/>
        <v>10</v>
      </c>
      <c r="BS5" s="12">
        <f>$C5-BL5</f>
        <v>10</v>
      </c>
      <c r="BT5" s="12">
        <f>$D5-BM5</f>
        <v>-7.5</v>
      </c>
      <c r="BU5" s="10">
        <f t="shared" si="32"/>
        <v>12.5</v>
      </c>
      <c r="BV5" s="10">
        <f t="shared" si="33"/>
        <v>10</v>
      </c>
      <c r="BW5" s="10">
        <f t="shared" si="34"/>
        <v>1</v>
      </c>
      <c r="BX5" s="13">
        <f t="shared" si="4"/>
        <v>7.5</v>
      </c>
    </row>
    <row r="6" spans="2:76" s="4" customFormat="1" x14ac:dyDescent="0.25">
      <c r="B6" s="4">
        <v>3</v>
      </c>
      <c r="C6" s="5">
        <v>4.5</v>
      </c>
      <c r="D6" s="5">
        <v>3</v>
      </c>
      <c r="E6" s="5">
        <v>0</v>
      </c>
      <c r="G6" s="9">
        <v>8</v>
      </c>
      <c r="H6" s="10">
        <v>2</v>
      </c>
      <c r="I6" s="10">
        <v>8</v>
      </c>
      <c r="J6" s="10">
        <v>2</v>
      </c>
      <c r="K6" s="10">
        <f t="shared" si="5"/>
        <v>0</v>
      </c>
      <c r="L6" s="10">
        <f t="shared" si="6"/>
        <v>0</v>
      </c>
      <c r="M6" s="11">
        <f t="shared" si="7"/>
        <v>0</v>
      </c>
      <c r="N6" s="12">
        <f>$C6-G6</f>
        <v>-3.5</v>
      </c>
      <c r="O6" s="12">
        <f>$D6-H6</f>
        <v>1</v>
      </c>
      <c r="P6" s="10">
        <f t="shared" si="8"/>
        <v>3.640054944640259</v>
      </c>
      <c r="Q6" s="10">
        <f t="shared" si="9"/>
        <v>0</v>
      </c>
      <c r="R6" s="10">
        <f t="shared" si="10"/>
        <v>0</v>
      </c>
      <c r="S6" s="13">
        <f t="shared" si="0"/>
        <v>3.640054944640259</v>
      </c>
      <c r="U6" s="9">
        <v>2.5</v>
      </c>
      <c r="V6" s="10">
        <v>2</v>
      </c>
      <c r="W6" s="10">
        <v>10</v>
      </c>
      <c r="X6" s="10">
        <v>8</v>
      </c>
      <c r="Y6" s="10">
        <f t="shared" si="11"/>
        <v>7.5</v>
      </c>
      <c r="Z6" s="10">
        <f t="shared" si="12"/>
        <v>6</v>
      </c>
      <c r="AA6" s="11">
        <f t="shared" si="13"/>
        <v>9.6046863561492728</v>
      </c>
      <c r="AB6" s="12">
        <f>$C6-U6</f>
        <v>2</v>
      </c>
      <c r="AC6" s="12">
        <f>$D6-V6</f>
        <v>1</v>
      </c>
      <c r="AD6" s="10">
        <f t="shared" si="14"/>
        <v>2.2360679774997898</v>
      </c>
      <c r="AE6" s="10">
        <f t="shared" si="15"/>
        <v>2.186432666440485</v>
      </c>
      <c r="AF6" s="10">
        <f t="shared" si="16"/>
        <v>0.22764227642276424</v>
      </c>
      <c r="AG6" s="13">
        <f t="shared" si="1"/>
        <v>0.46852128566581935</v>
      </c>
      <c r="AI6" s="9">
        <v>11</v>
      </c>
      <c r="AJ6" s="10">
        <v>5</v>
      </c>
      <c r="AK6" s="10">
        <v>4</v>
      </c>
      <c r="AL6" s="10">
        <v>10</v>
      </c>
      <c r="AM6" s="10">
        <f t="shared" si="17"/>
        <v>-7</v>
      </c>
      <c r="AN6" s="10">
        <f t="shared" si="18"/>
        <v>5</v>
      </c>
      <c r="AO6" s="11">
        <f t="shared" si="19"/>
        <v>8.6023252670426267</v>
      </c>
      <c r="AP6" s="12">
        <f>$C6-AI6</f>
        <v>-6.5</v>
      </c>
      <c r="AQ6" s="12">
        <f>$D6-AJ6</f>
        <v>-2</v>
      </c>
      <c r="AR6" s="10">
        <f t="shared" si="20"/>
        <v>6.800735254367722</v>
      </c>
      <c r="AS6" s="10">
        <f t="shared" si="21"/>
        <v>4.1267911754055842</v>
      </c>
      <c r="AT6" s="10">
        <f t="shared" si="22"/>
        <v>0.47972972972972971</v>
      </c>
      <c r="AU6" s="13">
        <f t="shared" si="2"/>
        <v>5.4055152015875976</v>
      </c>
      <c r="AX6" s="9">
        <v>4.5</v>
      </c>
      <c r="AY6" s="10">
        <v>7.5</v>
      </c>
      <c r="AZ6" s="10">
        <v>14.5</v>
      </c>
      <c r="BA6" s="10">
        <v>13</v>
      </c>
      <c r="BB6" s="10">
        <f t="shared" si="23"/>
        <v>10</v>
      </c>
      <c r="BC6" s="10">
        <f t="shared" si="24"/>
        <v>5.5</v>
      </c>
      <c r="BD6" s="11">
        <f t="shared" si="25"/>
        <v>11.412712210513327</v>
      </c>
      <c r="BE6" s="12">
        <f>$C6-AX6</f>
        <v>0</v>
      </c>
      <c r="BF6" s="12">
        <f>$D6-AY6</f>
        <v>-4.5</v>
      </c>
      <c r="BG6" s="10">
        <f t="shared" si="26"/>
        <v>4.5</v>
      </c>
      <c r="BH6" s="10">
        <f t="shared" si="27"/>
        <v>-2.1686343739747014</v>
      </c>
      <c r="BI6" s="10">
        <f t="shared" si="28"/>
        <v>-0.19001919385796545</v>
      </c>
      <c r="BJ6" s="13">
        <f t="shared" si="3"/>
        <v>3.9429715890449115</v>
      </c>
      <c r="BL6" s="9">
        <v>0</v>
      </c>
      <c r="BM6" s="10">
        <v>15</v>
      </c>
      <c r="BN6" s="10">
        <v>10</v>
      </c>
      <c r="BO6" s="10">
        <v>15</v>
      </c>
      <c r="BP6" s="10">
        <f t="shared" si="29"/>
        <v>10</v>
      </c>
      <c r="BQ6" s="10">
        <f t="shared" si="30"/>
        <v>0</v>
      </c>
      <c r="BR6" s="11">
        <f t="shared" si="31"/>
        <v>10</v>
      </c>
      <c r="BS6" s="12">
        <f>$C6-BL6</f>
        <v>4.5</v>
      </c>
      <c r="BT6" s="12">
        <f>$D6-BM6</f>
        <v>-12</v>
      </c>
      <c r="BU6" s="10">
        <f t="shared" si="32"/>
        <v>12.816005617976296</v>
      </c>
      <c r="BV6" s="10">
        <f t="shared" si="33"/>
        <v>4.5</v>
      </c>
      <c r="BW6" s="10">
        <f t="shared" si="34"/>
        <v>0.45</v>
      </c>
      <c r="BX6" s="13">
        <f t="shared" si="4"/>
        <v>12</v>
      </c>
    </row>
    <row r="7" spans="2:76" s="4" customFormat="1" x14ac:dyDescent="0.25">
      <c r="B7" s="4">
        <v>4</v>
      </c>
      <c r="C7" s="5">
        <v>2.5</v>
      </c>
      <c r="D7" s="5">
        <v>3.5</v>
      </c>
      <c r="E7" s="5">
        <v>0</v>
      </c>
      <c r="G7" s="9">
        <v>8</v>
      </c>
      <c r="H7" s="10">
        <v>2</v>
      </c>
      <c r="I7" s="10">
        <v>8</v>
      </c>
      <c r="J7" s="10">
        <v>2</v>
      </c>
      <c r="K7" s="10">
        <f t="shared" si="5"/>
        <v>0</v>
      </c>
      <c r="L7" s="10">
        <f t="shared" si="6"/>
        <v>0</v>
      </c>
      <c r="M7" s="11">
        <f t="shared" si="7"/>
        <v>0</v>
      </c>
      <c r="N7" s="12">
        <f>$C7-G7</f>
        <v>-5.5</v>
      </c>
      <c r="O7" s="12">
        <f>$D7-H7</f>
        <v>1.5</v>
      </c>
      <c r="P7" s="10">
        <f t="shared" si="8"/>
        <v>5.7008771254956896</v>
      </c>
      <c r="Q7" s="10">
        <f t="shared" si="9"/>
        <v>0</v>
      </c>
      <c r="R7" s="10">
        <f t="shared" si="10"/>
        <v>0</v>
      </c>
      <c r="S7" s="13">
        <f t="shared" si="0"/>
        <v>5.7008771254956896</v>
      </c>
      <c r="U7" s="9">
        <v>2.5</v>
      </c>
      <c r="V7" s="10">
        <v>2</v>
      </c>
      <c r="W7" s="10">
        <v>10</v>
      </c>
      <c r="X7" s="10">
        <v>8</v>
      </c>
      <c r="Y7" s="10">
        <f t="shared" si="11"/>
        <v>7.5</v>
      </c>
      <c r="Z7" s="10">
        <f t="shared" si="12"/>
        <v>6</v>
      </c>
      <c r="AA7" s="11">
        <f t="shared" si="13"/>
        <v>9.6046863561492728</v>
      </c>
      <c r="AB7" s="12">
        <f>$C7-U7</f>
        <v>0</v>
      </c>
      <c r="AC7" s="12">
        <f>$D7-V7</f>
        <v>1.5</v>
      </c>
      <c r="AD7" s="10">
        <f t="shared" si="14"/>
        <v>1.5</v>
      </c>
      <c r="AE7" s="10">
        <f t="shared" si="15"/>
        <v>0.93704257133163638</v>
      </c>
      <c r="AF7" s="10">
        <f t="shared" si="16"/>
        <v>9.7560975609756101E-2</v>
      </c>
      <c r="AG7" s="13">
        <f t="shared" si="1"/>
        <v>1.1713032141645456</v>
      </c>
      <c r="AI7" s="9">
        <v>11</v>
      </c>
      <c r="AJ7" s="10">
        <v>5</v>
      </c>
      <c r="AK7" s="10">
        <v>4</v>
      </c>
      <c r="AL7" s="10">
        <v>10</v>
      </c>
      <c r="AM7" s="10">
        <f t="shared" si="17"/>
        <v>-7</v>
      </c>
      <c r="AN7" s="10">
        <f t="shared" si="18"/>
        <v>5</v>
      </c>
      <c r="AO7" s="11">
        <f t="shared" si="19"/>
        <v>8.6023252670426267</v>
      </c>
      <c r="AP7" s="12">
        <f>$C7-AI7</f>
        <v>-8.5</v>
      </c>
      <c r="AQ7" s="12">
        <f>$D7-AJ7</f>
        <v>-1.5</v>
      </c>
      <c r="AR7" s="10">
        <f t="shared" si="20"/>
        <v>8.6313382508160341</v>
      </c>
      <c r="AS7" s="10">
        <f t="shared" si="21"/>
        <v>6.0448772146786025</v>
      </c>
      <c r="AT7" s="10">
        <f t="shared" si="22"/>
        <v>0.70270270270270274</v>
      </c>
      <c r="AU7" s="13">
        <f t="shared" si="2"/>
        <v>6.1611248534224217</v>
      </c>
      <c r="AX7" s="9">
        <v>4.5</v>
      </c>
      <c r="AY7" s="10">
        <v>7.5</v>
      </c>
      <c r="AZ7" s="10">
        <v>14.5</v>
      </c>
      <c r="BA7" s="10">
        <v>13</v>
      </c>
      <c r="BB7" s="10">
        <f t="shared" si="23"/>
        <v>10</v>
      </c>
      <c r="BC7" s="10">
        <f t="shared" si="24"/>
        <v>5.5</v>
      </c>
      <c r="BD7" s="11">
        <f t="shared" si="25"/>
        <v>11.412712210513327</v>
      </c>
      <c r="BE7" s="12">
        <f>$C7-AX7</f>
        <v>-2</v>
      </c>
      <c r="BF7" s="12">
        <f>$D7-AY7</f>
        <v>-4</v>
      </c>
      <c r="BG7" s="10">
        <f t="shared" si="26"/>
        <v>4.4721359549995796</v>
      </c>
      <c r="BH7" s="10">
        <f t="shared" si="27"/>
        <v>-3.6801068164419175</v>
      </c>
      <c r="BI7" s="10">
        <f t="shared" si="28"/>
        <v>-0.32245681381957775</v>
      </c>
      <c r="BJ7" s="13">
        <f t="shared" si="3"/>
        <v>2.5410261351622769</v>
      </c>
      <c r="BL7" s="9">
        <v>0</v>
      </c>
      <c r="BM7" s="10">
        <v>15</v>
      </c>
      <c r="BN7" s="10">
        <v>10</v>
      </c>
      <c r="BO7" s="10">
        <v>15</v>
      </c>
      <c r="BP7" s="10">
        <f t="shared" si="29"/>
        <v>10</v>
      </c>
      <c r="BQ7" s="10">
        <f t="shared" si="30"/>
        <v>0</v>
      </c>
      <c r="BR7" s="11">
        <f t="shared" si="31"/>
        <v>10</v>
      </c>
      <c r="BS7" s="12">
        <f>$C7-BL7</f>
        <v>2.5</v>
      </c>
      <c r="BT7" s="12">
        <f>$D7-BM7</f>
        <v>-11.5</v>
      </c>
      <c r="BU7" s="10">
        <f t="shared" si="32"/>
        <v>11.76860229593982</v>
      </c>
      <c r="BV7" s="10">
        <f t="shared" si="33"/>
        <v>2.5</v>
      </c>
      <c r="BW7" s="10">
        <f t="shared" si="34"/>
        <v>0.25</v>
      </c>
      <c r="BX7" s="13">
        <f t="shared" si="4"/>
        <v>11.5</v>
      </c>
    </row>
    <row r="8" spans="2:76" s="24" customFormat="1" x14ac:dyDescent="0.25">
      <c r="B8" s="4">
        <v>5</v>
      </c>
      <c r="C8" s="25">
        <v>8.5</v>
      </c>
      <c r="D8" s="25">
        <v>6</v>
      </c>
      <c r="E8" s="5">
        <v>0</v>
      </c>
      <c r="G8" s="26">
        <v>8</v>
      </c>
      <c r="H8" s="27">
        <v>2</v>
      </c>
      <c r="I8" s="27">
        <v>8</v>
      </c>
      <c r="J8" s="27">
        <v>2</v>
      </c>
      <c r="K8" s="27">
        <f t="shared" si="5"/>
        <v>0</v>
      </c>
      <c r="L8" s="27">
        <f t="shared" si="6"/>
        <v>0</v>
      </c>
      <c r="M8" s="28">
        <f t="shared" si="7"/>
        <v>0</v>
      </c>
      <c r="N8" s="29">
        <f>$C8-G8</f>
        <v>0.5</v>
      </c>
      <c r="O8" s="29">
        <f>$D8-H8</f>
        <v>4</v>
      </c>
      <c r="P8" s="27">
        <f t="shared" si="8"/>
        <v>4.0311288741492746</v>
      </c>
      <c r="Q8" s="27">
        <f t="shared" si="9"/>
        <v>0</v>
      </c>
      <c r="R8" s="27">
        <f t="shared" si="10"/>
        <v>0</v>
      </c>
      <c r="S8" s="30">
        <f t="shared" si="0"/>
        <v>4.0311288741492746</v>
      </c>
      <c r="U8" s="26">
        <v>2.5</v>
      </c>
      <c r="V8" s="27">
        <v>2</v>
      </c>
      <c r="W8" s="10">
        <v>10</v>
      </c>
      <c r="X8" s="10">
        <v>8</v>
      </c>
      <c r="Y8" s="27">
        <f t="shared" si="11"/>
        <v>7.5</v>
      </c>
      <c r="Z8" s="27">
        <f t="shared" si="12"/>
        <v>6</v>
      </c>
      <c r="AA8" s="28">
        <f t="shared" si="13"/>
        <v>9.6046863561492728</v>
      </c>
      <c r="AB8" s="29">
        <f>$C8-U8</f>
        <v>6</v>
      </c>
      <c r="AC8" s="29">
        <f>$D8-V8</f>
        <v>4</v>
      </c>
      <c r="AD8" s="27">
        <f t="shared" si="14"/>
        <v>7.2111025509279782</v>
      </c>
      <c r="AE8" s="27">
        <f t="shared" si="15"/>
        <v>7.1839930468758793</v>
      </c>
      <c r="AF8" s="27">
        <f t="shared" si="16"/>
        <v>0.74796747967479682</v>
      </c>
      <c r="AG8" s="30">
        <f t="shared" si="1"/>
        <v>0.62469504755441319</v>
      </c>
      <c r="AI8" s="26">
        <v>11</v>
      </c>
      <c r="AJ8" s="27">
        <v>5</v>
      </c>
      <c r="AK8" s="27">
        <v>4</v>
      </c>
      <c r="AL8" s="27">
        <v>10</v>
      </c>
      <c r="AM8" s="27">
        <f t="shared" si="17"/>
        <v>-7</v>
      </c>
      <c r="AN8" s="27">
        <f t="shared" si="18"/>
        <v>5</v>
      </c>
      <c r="AO8" s="28">
        <f t="shared" si="19"/>
        <v>8.6023252670426267</v>
      </c>
      <c r="AP8" s="29">
        <f>$C8-AI8</f>
        <v>-2.5</v>
      </c>
      <c r="AQ8" s="29">
        <f>$D8-AJ8</f>
        <v>1</v>
      </c>
      <c r="AR8" s="27">
        <f t="shared" si="20"/>
        <v>2.6925824035672519</v>
      </c>
      <c r="AS8" s="27">
        <f t="shared" si="21"/>
        <v>2.6155718717359338</v>
      </c>
      <c r="AT8" s="27">
        <f t="shared" si="22"/>
        <v>0.30405405405405406</v>
      </c>
      <c r="AU8" s="30">
        <f t="shared" si="2"/>
        <v>0.63936201309100571</v>
      </c>
      <c r="AX8" s="26">
        <v>4.5</v>
      </c>
      <c r="AY8" s="27">
        <v>7.5</v>
      </c>
      <c r="AZ8" s="27">
        <v>14.5</v>
      </c>
      <c r="BA8" s="27">
        <v>13</v>
      </c>
      <c r="BB8" s="27">
        <f t="shared" si="23"/>
        <v>10</v>
      </c>
      <c r="BC8" s="27">
        <f t="shared" si="24"/>
        <v>5.5</v>
      </c>
      <c r="BD8" s="28">
        <f t="shared" si="25"/>
        <v>11.412712210513327</v>
      </c>
      <c r="BE8" s="29">
        <f>$C8-AX8</f>
        <v>4</v>
      </c>
      <c r="BF8" s="29">
        <f>$D8-AY8</f>
        <v>-1.5</v>
      </c>
      <c r="BG8" s="27">
        <f t="shared" si="26"/>
        <v>4.2720018726587652</v>
      </c>
      <c r="BH8" s="27">
        <f t="shared" si="27"/>
        <v>2.7819855100483544</v>
      </c>
      <c r="BI8" s="27">
        <f t="shared" si="28"/>
        <v>0.24376199616122843</v>
      </c>
      <c r="BJ8" s="30">
        <f t="shared" si="3"/>
        <v>3.2419988621035936</v>
      </c>
      <c r="BL8" s="9">
        <v>0</v>
      </c>
      <c r="BM8" s="10">
        <v>15</v>
      </c>
      <c r="BN8" s="10">
        <v>10</v>
      </c>
      <c r="BO8" s="10">
        <v>15</v>
      </c>
      <c r="BP8" s="27">
        <f t="shared" si="29"/>
        <v>10</v>
      </c>
      <c r="BQ8" s="27">
        <f t="shared" si="30"/>
        <v>0</v>
      </c>
      <c r="BR8" s="28">
        <f t="shared" si="31"/>
        <v>10</v>
      </c>
      <c r="BS8" s="29">
        <f>$C8-BL8</f>
        <v>8.5</v>
      </c>
      <c r="BT8" s="29">
        <f>$D8-BM8</f>
        <v>-9</v>
      </c>
      <c r="BU8" s="27">
        <f t="shared" si="32"/>
        <v>12.379418403139947</v>
      </c>
      <c r="BV8" s="27">
        <f t="shared" si="33"/>
        <v>8.5</v>
      </c>
      <c r="BW8" s="27">
        <f t="shared" si="34"/>
        <v>0.85</v>
      </c>
      <c r="BX8" s="30">
        <f t="shared" si="4"/>
        <v>9</v>
      </c>
    </row>
    <row r="9" spans="2:76" s="4" customFormat="1" x14ac:dyDescent="0.25">
      <c r="B9" s="4">
        <v>6</v>
      </c>
      <c r="C9" s="5">
        <v>7</v>
      </c>
      <c r="D9" s="5">
        <v>6</v>
      </c>
      <c r="E9" s="5">
        <v>0</v>
      </c>
      <c r="G9" s="9">
        <v>8</v>
      </c>
      <c r="H9" s="10">
        <v>2</v>
      </c>
      <c r="I9" s="10">
        <v>8</v>
      </c>
      <c r="J9" s="10">
        <v>2</v>
      </c>
      <c r="K9" s="10">
        <f t="shared" si="5"/>
        <v>0</v>
      </c>
      <c r="L9" s="10">
        <f t="shared" si="6"/>
        <v>0</v>
      </c>
      <c r="M9" s="11">
        <f t="shared" si="7"/>
        <v>0</v>
      </c>
      <c r="N9" s="12">
        <f>$C9-G9</f>
        <v>-1</v>
      </c>
      <c r="O9" s="12">
        <f>$D9-H9</f>
        <v>4</v>
      </c>
      <c r="P9" s="10">
        <f t="shared" si="8"/>
        <v>4.1231056256176606</v>
      </c>
      <c r="Q9" s="10">
        <f t="shared" si="9"/>
        <v>0</v>
      </c>
      <c r="R9" s="10">
        <f t="shared" si="10"/>
        <v>0</v>
      </c>
      <c r="S9" s="13">
        <f t="shared" si="0"/>
        <v>4.1231056256176606</v>
      </c>
      <c r="U9" s="9">
        <v>2.5</v>
      </c>
      <c r="V9" s="10">
        <v>2</v>
      </c>
      <c r="W9" s="10">
        <v>10</v>
      </c>
      <c r="X9" s="10">
        <v>8</v>
      </c>
      <c r="Y9" s="10">
        <f t="shared" si="11"/>
        <v>7.5</v>
      </c>
      <c r="Z9" s="10">
        <f t="shared" si="12"/>
        <v>6</v>
      </c>
      <c r="AA9" s="11">
        <f t="shared" si="13"/>
        <v>9.6046863561492728</v>
      </c>
      <c r="AB9" s="12">
        <f>$C9-U9</f>
        <v>4.5</v>
      </c>
      <c r="AC9" s="12">
        <f>$D9-V9</f>
        <v>4</v>
      </c>
      <c r="AD9" s="10">
        <f t="shared" si="14"/>
        <v>6.0207972893961479</v>
      </c>
      <c r="AE9" s="10">
        <f t="shared" si="15"/>
        <v>6.0126898327113336</v>
      </c>
      <c r="AF9" s="10">
        <f t="shared" si="16"/>
        <v>0.6260162601626017</v>
      </c>
      <c r="AG9" s="13">
        <f t="shared" si="1"/>
        <v>0.31234752377720659</v>
      </c>
      <c r="AI9" s="9">
        <v>11</v>
      </c>
      <c r="AJ9" s="10">
        <v>5</v>
      </c>
      <c r="AK9" s="10">
        <v>4</v>
      </c>
      <c r="AL9" s="10">
        <v>10</v>
      </c>
      <c r="AM9" s="10">
        <f t="shared" si="17"/>
        <v>-7</v>
      </c>
      <c r="AN9" s="10">
        <f t="shared" si="18"/>
        <v>5</v>
      </c>
      <c r="AO9" s="11">
        <f t="shared" si="19"/>
        <v>8.6023252670426267</v>
      </c>
      <c r="AP9" s="12">
        <f>$C9-AI9</f>
        <v>-4</v>
      </c>
      <c r="AQ9" s="12">
        <f>$D9-AJ9</f>
        <v>1</v>
      </c>
      <c r="AR9" s="10">
        <f t="shared" si="20"/>
        <v>4.1231056256176606</v>
      </c>
      <c r="AS9" s="10">
        <f t="shared" si="21"/>
        <v>3.8361720785460363</v>
      </c>
      <c r="AT9" s="10">
        <f t="shared" si="22"/>
        <v>0.44594594594594594</v>
      </c>
      <c r="AU9" s="13">
        <f t="shared" si="2"/>
        <v>1.5112193036696508</v>
      </c>
      <c r="AX9" s="9">
        <v>4.5</v>
      </c>
      <c r="AY9" s="10">
        <v>7.5</v>
      </c>
      <c r="AZ9" s="10">
        <v>14.5</v>
      </c>
      <c r="BA9" s="10">
        <v>13</v>
      </c>
      <c r="BB9" s="10">
        <f t="shared" si="23"/>
        <v>10</v>
      </c>
      <c r="BC9" s="10">
        <f t="shared" si="24"/>
        <v>5.5</v>
      </c>
      <c r="BD9" s="11">
        <f t="shared" si="25"/>
        <v>11.412712210513327</v>
      </c>
      <c r="BE9" s="12">
        <f>$C9-AX9</f>
        <v>2.5</v>
      </c>
      <c r="BF9" s="12">
        <f>$D9-AY9</f>
        <v>-1.5</v>
      </c>
      <c r="BG9" s="10">
        <f t="shared" si="26"/>
        <v>2.9154759474226504</v>
      </c>
      <c r="BH9" s="10">
        <f t="shared" si="27"/>
        <v>1.4676616470333839</v>
      </c>
      <c r="BI9" s="10">
        <f t="shared" si="28"/>
        <v>0.12859884836852209</v>
      </c>
      <c r="BJ9" s="13">
        <f t="shared" si="3"/>
        <v>2.5191207374453599</v>
      </c>
      <c r="BL9" s="9">
        <v>0</v>
      </c>
      <c r="BM9" s="10">
        <v>15</v>
      </c>
      <c r="BN9" s="10">
        <v>10</v>
      </c>
      <c r="BO9" s="10">
        <v>15</v>
      </c>
      <c r="BP9" s="10">
        <f t="shared" si="29"/>
        <v>10</v>
      </c>
      <c r="BQ9" s="10">
        <f t="shared" si="30"/>
        <v>0</v>
      </c>
      <c r="BR9" s="11">
        <f t="shared" si="31"/>
        <v>10</v>
      </c>
      <c r="BS9" s="12">
        <f>$C9-BL9</f>
        <v>7</v>
      </c>
      <c r="BT9" s="12">
        <f>$D9-BM9</f>
        <v>-9</v>
      </c>
      <c r="BU9" s="10">
        <f t="shared" si="32"/>
        <v>11.401754250991379</v>
      </c>
      <c r="BV9" s="10">
        <f t="shared" si="33"/>
        <v>7</v>
      </c>
      <c r="BW9" s="10">
        <f t="shared" si="34"/>
        <v>0.7</v>
      </c>
      <c r="BX9" s="13">
        <f t="shared" si="4"/>
        <v>9</v>
      </c>
    </row>
    <row r="10" spans="2:76" s="31" customFormat="1" x14ac:dyDescent="0.25">
      <c r="B10" s="4">
        <v>7</v>
      </c>
      <c r="C10" s="32">
        <v>6.5</v>
      </c>
      <c r="D10" s="32">
        <v>6.5</v>
      </c>
      <c r="E10" s="5">
        <v>0</v>
      </c>
      <c r="G10" s="33">
        <v>8</v>
      </c>
      <c r="H10" s="34">
        <v>2</v>
      </c>
      <c r="I10" s="34">
        <v>8</v>
      </c>
      <c r="J10" s="34">
        <v>2</v>
      </c>
      <c r="K10" s="34">
        <f t="shared" si="5"/>
        <v>0</v>
      </c>
      <c r="L10" s="34">
        <f t="shared" si="6"/>
        <v>0</v>
      </c>
      <c r="M10" s="35">
        <f t="shared" si="7"/>
        <v>0</v>
      </c>
      <c r="N10" s="36">
        <f>$C10-G10</f>
        <v>-1.5</v>
      </c>
      <c r="O10" s="36">
        <f>$D10-H10</f>
        <v>4.5</v>
      </c>
      <c r="P10" s="34">
        <f t="shared" si="8"/>
        <v>4.7434164902525691</v>
      </c>
      <c r="Q10" s="34">
        <f t="shared" si="9"/>
        <v>0</v>
      </c>
      <c r="R10" s="34">
        <f t="shared" si="10"/>
        <v>0</v>
      </c>
      <c r="S10" s="37">
        <f t="shared" si="0"/>
        <v>4.7434164902525691</v>
      </c>
      <c r="U10" s="33">
        <v>2.5</v>
      </c>
      <c r="V10" s="34">
        <v>2</v>
      </c>
      <c r="W10" s="10">
        <v>10</v>
      </c>
      <c r="X10" s="10">
        <v>8</v>
      </c>
      <c r="Y10" s="34">
        <f t="shared" si="11"/>
        <v>7.5</v>
      </c>
      <c r="Z10" s="34">
        <f t="shared" si="12"/>
        <v>6</v>
      </c>
      <c r="AA10" s="35">
        <f t="shared" si="13"/>
        <v>9.6046863561492728</v>
      </c>
      <c r="AB10" s="36">
        <f>$C10-U10</f>
        <v>4</v>
      </c>
      <c r="AC10" s="36">
        <f>$D10-V10</f>
        <v>4.5</v>
      </c>
      <c r="AD10" s="34">
        <f t="shared" si="14"/>
        <v>6.0207972893961479</v>
      </c>
      <c r="AE10" s="34">
        <f t="shared" si="15"/>
        <v>5.9346029517670305</v>
      </c>
      <c r="AF10" s="34">
        <f t="shared" si="16"/>
        <v>0.61788617886178865</v>
      </c>
      <c r="AG10" s="37">
        <f t="shared" si="1"/>
        <v>1.0151294522759398</v>
      </c>
      <c r="AI10" s="33">
        <v>11</v>
      </c>
      <c r="AJ10" s="34">
        <v>5</v>
      </c>
      <c r="AK10" s="34">
        <v>4</v>
      </c>
      <c r="AL10" s="34">
        <v>10</v>
      </c>
      <c r="AM10" s="34">
        <f t="shared" si="17"/>
        <v>-7</v>
      </c>
      <c r="AN10" s="34">
        <f t="shared" si="18"/>
        <v>5</v>
      </c>
      <c r="AO10" s="35">
        <f t="shared" si="19"/>
        <v>8.6023252670426267</v>
      </c>
      <c r="AP10" s="36">
        <f>$C10-AI10</f>
        <v>-4.5</v>
      </c>
      <c r="AQ10" s="36">
        <f>$D10-AJ10</f>
        <v>1.5</v>
      </c>
      <c r="AR10" s="34">
        <f t="shared" si="20"/>
        <v>4.7434164902525691</v>
      </c>
      <c r="AS10" s="34">
        <f t="shared" si="21"/>
        <v>4.5336579110089517</v>
      </c>
      <c r="AT10" s="34">
        <f t="shared" si="22"/>
        <v>0.52702702702702697</v>
      </c>
      <c r="AU10" s="37">
        <f t="shared" si="2"/>
        <v>1.3949716649258319</v>
      </c>
      <c r="AX10" s="33">
        <v>4.5</v>
      </c>
      <c r="AY10" s="34">
        <v>7.5</v>
      </c>
      <c r="AZ10" s="34">
        <v>14.5</v>
      </c>
      <c r="BA10" s="34">
        <v>13</v>
      </c>
      <c r="BB10" s="34">
        <f t="shared" si="23"/>
        <v>10</v>
      </c>
      <c r="BC10" s="34">
        <f t="shared" si="24"/>
        <v>5.5</v>
      </c>
      <c r="BD10" s="35">
        <f t="shared" si="25"/>
        <v>11.412712210513327</v>
      </c>
      <c r="BE10" s="36">
        <f>$C10-AX10</f>
        <v>2</v>
      </c>
      <c r="BF10" s="36">
        <f>$D10-AY10</f>
        <v>-1</v>
      </c>
      <c r="BG10" s="34">
        <f t="shared" si="26"/>
        <v>2.2360679774997898</v>
      </c>
      <c r="BH10" s="34">
        <f t="shared" si="27"/>
        <v>1.2705130675811382</v>
      </c>
      <c r="BI10" s="34">
        <f t="shared" si="28"/>
        <v>0.11132437619961613</v>
      </c>
      <c r="BJ10" s="37">
        <f t="shared" si="3"/>
        <v>1.840053408220959</v>
      </c>
      <c r="BL10" s="9">
        <v>0</v>
      </c>
      <c r="BM10" s="10">
        <v>15</v>
      </c>
      <c r="BN10" s="10">
        <v>10</v>
      </c>
      <c r="BO10" s="10">
        <v>15</v>
      </c>
      <c r="BP10" s="34">
        <f t="shared" si="29"/>
        <v>10</v>
      </c>
      <c r="BQ10" s="34">
        <f t="shared" si="30"/>
        <v>0</v>
      </c>
      <c r="BR10" s="35">
        <f t="shared" si="31"/>
        <v>10</v>
      </c>
      <c r="BS10" s="36">
        <f>$C10-BL10</f>
        <v>6.5</v>
      </c>
      <c r="BT10" s="36">
        <f>$D10-BM10</f>
        <v>-8.5</v>
      </c>
      <c r="BU10" s="34">
        <f t="shared" si="32"/>
        <v>10.700467279516348</v>
      </c>
      <c r="BV10" s="34">
        <f t="shared" si="33"/>
        <v>6.5</v>
      </c>
      <c r="BW10" s="34">
        <f t="shared" si="34"/>
        <v>0.65</v>
      </c>
      <c r="BX10" s="37">
        <f t="shared" si="4"/>
        <v>8.5</v>
      </c>
    </row>
    <row r="11" spans="2:76" s="4" customFormat="1" x14ac:dyDescent="0.25">
      <c r="B11" s="4">
        <v>8</v>
      </c>
      <c r="C11" s="5">
        <v>6.5</v>
      </c>
      <c r="D11" s="5">
        <v>8</v>
      </c>
      <c r="E11" s="5">
        <v>0</v>
      </c>
      <c r="G11" s="9">
        <v>8</v>
      </c>
      <c r="H11" s="10">
        <v>2</v>
      </c>
      <c r="I11" s="10">
        <v>8</v>
      </c>
      <c r="J11" s="10">
        <v>2</v>
      </c>
      <c r="K11" s="10">
        <f t="shared" si="5"/>
        <v>0</v>
      </c>
      <c r="L11" s="10">
        <f t="shared" si="6"/>
        <v>0</v>
      </c>
      <c r="M11" s="11">
        <f t="shared" si="7"/>
        <v>0</v>
      </c>
      <c r="N11" s="12">
        <f>$C11-G11</f>
        <v>-1.5</v>
      </c>
      <c r="O11" s="12">
        <f>$D11-H11</f>
        <v>6</v>
      </c>
      <c r="P11" s="10">
        <f t="shared" si="8"/>
        <v>6.1846584384264904</v>
      </c>
      <c r="Q11" s="10">
        <f t="shared" si="9"/>
        <v>0</v>
      </c>
      <c r="R11" s="10">
        <f t="shared" si="10"/>
        <v>0</v>
      </c>
      <c r="S11" s="13">
        <f t="shared" si="0"/>
        <v>6.1846584384264904</v>
      </c>
      <c r="U11" s="9">
        <v>2.5</v>
      </c>
      <c r="V11" s="10">
        <v>2</v>
      </c>
      <c r="W11" s="10">
        <v>10</v>
      </c>
      <c r="X11" s="10">
        <v>8</v>
      </c>
      <c r="Y11" s="10">
        <f t="shared" si="11"/>
        <v>7.5</v>
      </c>
      <c r="Z11" s="10">
        <f t="shared" si="12"/>
        <v>6</v>
      </c>
      <c r="AA11" s="11">
        <f t="shared" si="13"/>
        <v>9.6046863561492728</v>
      </c>
      <c r="AB11" s="12">
        <f>$C11-U11</f>
        <v>4</v>
      </c>
      <c r="AC11" s="12">
        <f>$D11-V11</f>
        <v>6</v>
      </c>
      <c r="AD11" s="10">
        <f t="shared" si="14"/>
        <v>7.2111025509279782</v>
      </c>
      <c r="AE11" s="10">
        <f t="shared" si="15"/>
        <v>6.8716455230986666</v>
      </c>
      <c r="AF11" s="10">
        <f t="shared" si="16"/>
        <v>0.71544715447154472</v>
      </c>
      <c r="AG11" s="13">
        <f t="shared" si="1"/>
        <v>2.1864326664404836</v>
      </c>
      <c r="AI11" s="9">
        <v>11</v>
      </c>
      <c r="AJ11" s="10">
        <v>5</v>
      </c>
      <c r="AK11" s="10">
        <v>4</v>
      </c>
      <c r="AL11" s="10">
        <v>10</v>
      </c>
      <c r="AM11" s="10">
        <f t="shared" si="17"/>
        <v>-7</v>
      </c>
      <c r="AN11" s="10">
        <f t="shared" si="18"/>
        <v>5</v>
      </c>
      <c r="AO11" s="11">
        <f t="shared" si="19"/>
        <v>8.6023252670426267</v>
      </c>
      <c r="AP11" s="12">
        <f>$C11-AI11</f>
        <v>-4.5</v>
      </c>
      <c r="AQ11" s="12">
        <f>$D11-AJ11</f>
        <v>3</v>
      </c>
      <c r="AR11" s="10">
        <f t="shared" si="20"/>
        <v>5.4083269131959844</v>
      </c>
      <c r="AS11" s="10">
        <f t="shared" si="21"/>
        <v>5.4055152015875967</v>
      </c>
      <c r="AT11" s="10">
        <f t="shared" si="22"/>
        <v>0.6283783783783784</v>
      </c>
      <c r="AU11" s="13">
        <f t="shared" si="2"/>
        <v>0.1743714581157336</v>
      </c>
      <c r="AX11" s="9">
        <v>4.5</v>
      </c>
      <c r="AY11" s="10">
        <v>7.5</v>
      </c>
      <c r="AZ11" s="10">
        <v>14.5</v>
      </c>
      <c r="BA11" s="10">
        <v>13</v>
      </c>
      <c r="BB11" s="10">
        <f t="shared" si="23"/>
        <v>10</v>
      </c>
      <c r="BC11" s="10">
        <f t="shared" si="24"/>
        <v>5.5</v>
      </c>
      <c r="BD11" s="11">
        <f t="shared" si="25"/>
        <v>11.412712210513327</v>
      </c>
      <c r="BE11" s="12">
        <f>$C11-AX11</f>
        <v>2</v>
      </c>
      <c r="BF11" s="12">
        <f>$D11-AY11</f>
        <v>0.5</v>
      </c>
      <c r="BG11" s="10">
        <f t="shared" si="26"/>
        <v>2.0615528128088303</v>
      </c>
      <c r="BH11" s="10">
        <f t="shared" si="27"/>
        <v>1.9933911922393721</v>
      </c>
      <c r="BI11" s="10">
        <f t="shared" si="28"/>
        <v>0.17466410748560462</v>
      </c>
      <c r="BJ11" s="13">
        <f t="shared" si="3"/>
        <v>0.52572954520598747</v>
      </c>
      <c r="BL11" s="9">
        <v>0</v>
      </c>
      <c r="BM11" s="10">
        <v>15</v>
      </c>
      <c r="BN11" s="10">
        <v>10</v>
      </c>
      <c r="BO11" s="10">
        <v>15</v>
      </c>
      <c r="BP11" s="10">
        <f t="shared" si="29"/>
        <v>10</v>
      </c>
      <c r="BQ11" s="10">
        <f t="shared" si="30"/>
        <v>0</v>
      </c>
      <c r="BR11" s="11">
        <f t="shared" si="31"/>
        <v>10</v>
      </c>
      <c r="BS11" s="12">
        <f>$C11-BL11</f>
        <v>6.5</v>
      </c>
      <c r="BT11" s="12">
        <f>$D11-BM11</f>
        <v>-7</v>
      </c>
      <c r="BU11" s="10">
        <f t="shared" si="32"/>
        <v>9.5524865872713995</v>
      </c>
      <c r="BV11" s="10">
        <f t="shared" si="33"/>
        <v>6.5</v>
      </c>
      <c r="BW11" s="10">
        <f t="shared" si="34"/>
        <v>0.65</v>
      </c>
      <c r="BX11" s="13">
        <f t="shared" si="4"/>
        <v>6.9999999999999991</v>
      </c>
    </row>
    <row r="12" spans="2:76" s="4" customFormat="1" x14ac:dyDescent="0.25">
      <c r="B12" s="4">
        <v>9</v>
      </c>
      <c r="C12" s="5">
        <v>5.5</v>
      </c>
      <c r="D12" s="5">
        <v>8.5</v>
      </c>
      <c r="E12" s="5">
        <v>0</v>
      </c>
      <c r="G12" s="9">
        <v>8</v>
      </c>
      <c r="H12" s="10">
        <v>2</v>
      </c>
      <c r="I12" s="10">
        <v>8</v>
      </c>
      <c r="J12" s="10">
        <v>2</v>
      </c>
      <c r="K12" s="10">
        <f t="shared" si="5"/>
        <v>0</v>
      </c>
      <c r="L12" s="10">
        <f t="shared" si="6"/>
        <v>0</v>
      </c>
      <c r="M12" s="11">
        <f t="shared" si="7"/>
        <v>0</v>
      </c>
      <c r="N12" s="12">
        <f>$C12-G12</f>
        <v>-2.5</v>
      </c>
      <c r="O12" s="12">
        <f>$D12-H12</f>
        <v>6.5</v>
      </c>
      <c r="P12" s="10">
        <f t="shared" si="8"/>
        <v>6.9641941385920596</v>
      </c>
      <c r="Q12" s="10">
        <f t="shared" si="9"/>
        <v>0</v>
      </c>
      <c r="R12" s="10">
        <f t="shared" si="10"/>
        <v>0</v>
      </c>
      <c r="S12" s="13">
        <f t="shared" si="0"/>
        <v>6.9641941385920596</v>
      </c>
      <c r="U12" s="9">
        <v>2.5</v>
      </c>
      <c r="V12" s="10">
        <v>2</v>
      </c>
      <c r="W12" s="10">
        <v>10</v>
      </c>
      <c r="X12" s="10">
        <v>8</v>
      </c>
      <c r="Y12" s="10">
        <f t="shared" si="11"/>
        <v>7.5</v>
      </c>
      <c r="Z12" s="10">
        <f t="shared" si="12"/>
        <v>6</v>
      </c>
      <c r="AA12" s="11">
        <f t="shared" si="13"/>
        <v>9.6046863561492728</v>
      </c>
      <c r="AB12" s="12">
        <f>$C12-U12</f>
        <v>3</v>
      </c>
      <c r="AC12" s="12">
        <f>$D12-V12</f>
        <v>6.5</v>
      </c>
      <c r="AD12" s="10">
        <f t="shared" si="14"/>
        <v>7.1589105316381767</v>
      </c>
      <c r="AE12" s="10">
        <f t="shared" si="15"/>
        <v>6.4031242374328485</v>
      </c>
      <c r="AF12" s="10">
        <f t="shared" si="16"/>
        <v>0.66666666666666663</v>
      </c>
      <c r="AG12" s="13">
        <f t="shared" si="1"/>
        <v>3.2015621187164243</v>
      </c>
      <c r="AI12" s="9">
        <v>11</v>
      </c>
      <c r="AJ12" s="10">
        <v>5</v>
      </c>
      <c r="AK12" s="10">
        <v>4</v>
      </c>
      <c r="AL12" s="10">
        <v>10</v>
      </c>
      <c r="AM12" s="10">
        <f t="shared" si="17"/>
        <v>-7</v>
      </c>
      <c r="AN12" s="10">
        <f t="shared" si="18"/>
        <v>5</v>
      </c>
      <c r="AO12" s="11">
        <f t="shared" si="19"/>
        <v>8.6023252670426267</v>
      </c>
      <c r="AP12" s="12">
        <f>$C12-AI12</f>
        <v>-5.5</v>
      </c>
      <c r="AQ12" s="12">
        <f>$D12-AJ12</f>
        <v>3.5</v>
      </c>
      <c r="AR12" s="10">
        <f t="shared" si="20"/>
        <v>6.5192024052026492</v>
      </c>
      <c r="AS12" s="10">
        <f t="shared" si="21"/>
        <v>6.50986776965388</v>
      </c>
      <c r="AT12" s="10">
        <f t="shared" si="22"/>
        <v>0.7567567567567568</v>
      </c>
      <c r="AU12" s="13">
        <f t="shared" si="2"/>
        <v>0.34874291623146719</v>
      </c>
      <c r="AX12" s="9">
        <v>4.5</v>
      </c>
      <c r="AY12" s="10">
        <v>7.5</v>
      </c>
      <c r="AZ12" s="10">
        <v>14.5</v>
      </c>
      <c r="BA12" s="10">
        <v>13</v>
      </c>
      <c r="BB12" s="10">
        <f t="shared" si="23"/>
        <v>10</v>
      </c>
      <c r="BC12" s="10">
        <f t="shared" si="24"/>
        <v>5.5</v>
      </c>
      <c r="BD12" s="11">
        <f t="shared" si="25"/>
        <v>11.412712210513327</v>
      </c>
      <c r="BE12" s="12">
        <f>$C12-AX12</f>
        <v>1</v>
      </c>
      <c r="BF12" s="12">
        <f>$D12-AY12</f>
        <v>1</v>
      </c>
      <c r="BG12" s="10">
        <f t="shared" si="26"/>
        <v>1.4142135623730951</v>
      </c>
      <c r="BH12" s="10">
        <f t="shared" si="27"/>
        <v>1.358134658448803</v>
      </c>
      <c r="BI12" s="10">
        <f t="shared" si="28"/>
        <v>0.11900191938579656</v>
      </c>
      <c r="BJ12" s="13">
        <f t="shared" si="3"/>
        <v>0.3942971589044913</v>
      </c>
      <c r="BL12" s="9">
        <v>0</v>
      </c>
      <c r="BM12" s="10">
        <v>15</v>
      </c>
      <c r="BN12" s="10">
        <v>10</v>
      </c>
      <c r="BO12" s="10">
        <v>15</v>
      </c>
      <c r="BP12" s="10">
        <f t="shared" si="29"/>
        <v>10</v>
      </c>
      <c r="BQ12" s="10">
        <f t="shared" si="30"/>
        <v>0</v>
      </c>
      <c r="BR12" s="11">
        <f t="shared" si="31"/>
        <v>10</v>
      </c>
      <c r="BS12" s="12">
        <f>$C12-BL12</f>
        <v>5.5</v>
      </c>
      <c r="BT12" s="12">
        <f>$D12-BM12</f>
        <v>-6.5</v>
      </c>
      <c r="BU12" s="10">
        <f t="shared" si="32"/>
        <v>8.5146931829632013</v>
      </c>
      <c r="BV12" s="10">
        <f t="shared" si="33"/>
        <v>5.5</v>
      </c>
      <c r="BW12" s="10">
        <f t="shared" si="34"/>
        <v>0.55000000000000004</v>
      </c>
      <c r="BX12" s="13">
        <f t="shared" si="4"/>
        <v>6.5000000000000009</v>
      </c>
    </row>
    <row r="13" spans="2:76" s="2" customFormat="1" x14ac:dyDescent="0.25">
      <c r="B13" s="4">
        <v>10</v>
      </c>
      <c r="C13" s="3">
        <v>5</v>
      </c>
      <c r="D13" s="3">
        <v>7.5</v>
      </c>
      <c r="E13" s="5">
        <v>0</v>
      </c>
      <c r="G13" s="14">
        <v>8</v>
      </c>
      <c r="H13" s="15">
        <v>2</v>
      </c>
      <c r="I13" s="15">
        <v>8</v>
      </c>
      <c r="J13" s="15">
        <v>2</v>
      </c>
      <c r="K13" s="15">
        <f t="shared" si="5"/>
        <v>0</v>
      </c>
      <c r="L13" s="15">
        <f t="shared" si="6"/>
        <v>0</v>
      </c>
      <c r="M13" s="16">
        <f t="shared" si="7"/>
        <v>0</v>
      </c>
      <c r="N13" s="17">
        <f>$C13-G13</f>
        <v>-3</v>
      </c>
      <c r="O13" s="17">
        <f>$D13-H13</f>
        <v>5.5</v>
      </c>
      <c r="P13" s="15">
        <f t="shared" si="8"/>
        <v>6.2649820430708338</v>
      </c>
      <c r="Q13" s="15">
        <f t="shared" si="9"/>
        <v>0</v>
      </c>
      <c r="R13" s="15">
        <f t="shared" si="10"/>
        <v>0</v>
      </c>
      <c r="S13" s="18">
        <f>SQRT(P13^2-Q13^2)</f>
        <v>6.2649820430708338</v>
      </c>
      <c r="U13" s="14">
        <v>2.5</v>
      </c>
      <c r="V13" s="15">
        <v>2</v>
      </c>
      <c r="W13" s="10">
        <v>10</v>
      </c>
      <c r="X13" s="10">
        <v>8</v>
      </c>
      <c r="Y13" s="15">
        <f t="shared" si="11"/>
        <v>7.5</v>
      </c>
      <c r="Z13" s="15">
        <f t="shared" si="12"/>
        <v>6</v>
      </c>
      <c r="AA13" s="16">
        <f t="shared" si="13"/>
        <v>9.6046863561492728</v>
      </c>
      <c r="AB13" s="17">
        <f>$C13-U13</f>
        <v>2.5</v>
      </c>
      <c r="AC13" s="17">
        <f>$D13-V13</f>
        <v>5.5</v>
      </c>
      <c r="AD13" s="15">
        <f t="shared" si="14"/>
        <v>6.0415229867972862</v>
      </c>
      <c r="AE13" s="15">
        <f t="shared" si="15"/>
        <v>5.3879947851569092</v>
      </c>
      <c r="AF13" s="15">
        <f t="shared" si="16"/>
        <v>0.56097560975609762</v>
      </c>
      <c r="AG13" s="18">
        <f>SQRT(AD13^2-AE13^2)</f>
        <v>2.7330408330506062</v>
      </c>
      <c r="AI13" s="14">
        <v>11</v>
      </c>
      <c r="AJ13" s="15">
        <v>5</v>
      </c>
      <c r="AK13" s="15">
        <v>4</v>
      </c>
      <c r="AL13" s="15">
        <v>10</v>
      </c>
      <c r="AM13" s="15">
        <f t="shared" si="17"/>
        <v>-7</v>
      </c>
      <c r="AN13" s="15">
        <f t="shared" si="18"/>
        <v>5</v>
      </c>
      <c r="AO13" s="16">
        <f t="shared" si="19"/>
        <v>8.6023252670426267</v>
      </c>
      <c r="AP13" s="17">
        <f>$C13-AI13</f>
        <v>-6</v>
      </c>
      <c r="AQ13" s="17">
        <f>$D13-AJ13</f>
        <v>2.5</v>
      </c>
      <c r="AR13" s="15">
        <f t="shared" si="20"/>
        <v>6.5</v>
      </c>
      <c r="AS13" s="15">
        <f t="shared" si="21"/>
        <v>6.3354963115381508</v>
      </c>
      <c r="AT13" s="15">
        <f t="shared" si="22"/>
        <v>0.73648648648648651</v>
      </c>
      <c r="AU13" s="18">
        <f>SQRT(AR13^2-AS13^2)</f>
        <v>1.4530954842977402</v>
      </c>
      <c r="AX13" s="14">
        <v>4.5</v>
      </c>
      <c r="AY13" s="15">
        <v>7.5</v>
      </c>
      <c r="AZ13" s="15">
        <v>14.5</v>
      </c>
      <c r="BA13" s="15">
        <v>13</v>
      </c>
      <c r="BB13" s="15">
        <f t="shared" si="23"/>
        <v>10</v>
      </c>
      <c r="BC13" s="15">
        <f t="shared" si="24"/>
        <v>5.5</v>
      </c>
      <c r="BD13" s="16">
        <f t="shared" si="25"/>
        <v>11.412712210513327</v>
      </c>
      <c r="BE13" s="17">
        <f>$C13-AX13</f>
        <v>0.5</v>
      </c>
      <c r="BF13" s="17">
        <f>$D13-AY13</f>
        <v>0</v>
      </c>
      <c r="BG13" s="15">
        <f t="shared" si="26"/>
        <v>0.5</v>
      </c>
      <c r="BH13" s="15">
        <f t="shared" si="27"/>
        <v>0.43810795433832356</v>
      </c>
      <c r="BI13" s="15">
        <f t="shared" si="28"/>
        <v>3.8387715930902115E-2</v>
      </c>
      <c r="BJ13" s="18">
        <f>SQRT(BG13^2-BH13^2)</f>
        <v>0.24095937488607783</v>
      </c>
      <c r="BL13" s="9">
        <v>0</v>
      </c>
      <c r="BM13" s="10">
        <v>15</v>
      </c>
      <c r="BN13" s="10">
        <v>10</v>
      </c>
      <c r="BO13" s="10">
        <v>15</v>
      </c>
      <c r="BP13" s="15">
        <f t="shared" si="29"/>
        <v>10</v>
      </c>
      <c r="BQ13" s="15">
        <f t="shared" si="30"/>
        <v>0</v>
      </c>
      <c r="BR13" s="16">
        <f t="shared" si="31"/>
        <v>10</v>
      </c>
      <c r="BS13" s="17">
        <f>$C13-BL13</f>
        <v>5</v>
      </c>
      <c r="BT13" s="17">
        <f>$D13-BM13</f>
        <v>-7.5</v>
      </c>
      <c r="BU13" s="15">
        <f t="shared" si="32"/>
        <v>9.013878188659973</v>
      </c>
      <c r="BV13" s="15">
        <f t="shared" si="33"/>
        <v>5</v>
      </c>
      <c r="BW13" s="15">
        <f t="shared" si="34"/>
        <v>0.5</v>
      </c>
      <c r="BX13" s="18">
        <f>SQRT(BU13^2-BV13^2)</f>
        <v>7.5</v>
      </c>
    </row>
    <row r="14" spans="2:76" s="4" customFormat="1" x14ac:dyDescent="0.25">
      <c r="B14" s="4">
        <v>11</v>
      </c>
      <c r="C14" s="5">
        <v>9.5</v>
      </c>
      <c r="D14" s="5">
        <v>9.5</v>
      </c>
      <c r="E14" s="5">
        <v>0</v>
      </c>
      <c r="G14" s="9">
        <v>8</v>
      </c>
      <c r="H14" s="10">
        <v>2</v>
      </c>
      <c r="I14" s="10">
        <v>8</v>
      </c>
      <c r="J14" s="10">
        <v>2</v>
      </c>
      <c r="K14" s="10">
        <f t="shared" si="5"/>
        <v>0</v>
      </c>
      <c r="L14" s="10">
        <f t="shared" si="6"/>
        <v>0</v>
      </c>
      <c r="M14" s="11">
        <f t="shared" si="7"/>
        <v>0</v>
      </c>
      <c r="N14" s="12">
        <f>$C14-G14</f>
        <v>1.5</v>
      </c>
      <c r="O14" s="12">
        <f>$D14-H14</f>
        <v>7.5</v>
      </c>
      <c r="P14" s="10">
        <f t="shared" si="8"/>
        <v>7.6485292703891776</v>
      </c>
      <c r="Q14" s="10">
        <f t="shared" si="9"/>
        <v>0</v>
      </c>
      <c r="R14" s="10">
        <f t="shared" si="10"/>
        <v>0</v>
      </c>
      <c r="S14" s="13">
        <f t="shared" ref="S14:S19" si="35">SQRT(P14^2-Q14^2)</f>
        <v>7.6485292703891776</v>
      </c>
      <c r="U14" s="9">
        <v>2.5</v>
      </c>
      <c r="V14" s="10">
        <v>2</v>
      </c>
      <c r="W14" s="10">
        <v>10</v>
      </c>
      <c r="X14" s="10">
        <v>8</v>
      </c>
      <c r="Y14" s="10">
        <f t="shared" si="11"/>
        <v>7.5</v>
      </c>
      <c r="Z14" s="10">
        <f t="shared" si="12"/>
        <v>6</v>
      </c>
      <c r="AA14" s="11">
        <f t="shared" si="13"/>
        <v>9.6046863561492728</v>
      </c>
      <c r="AB14" s="12">
        <f>$C14-U14</f>
        <v>7</v>
      </c>
      <c r="AC14" s="12">
        <f>$D14-V14</f>
        <v>7.5</v>
      </c>
      <c r="AD14" s="10">
        <f t="shared" si="14"/>
        <v>10.259142264341596</v>
      </c>
      <c r="AE14" s="10">
        <f t="shared" si="15"/>
        <v>10.151294522759395</v>
      </c>
      <c r="AF14" s="10">
        <f t="shared" si="16"/>
        <v>1.0569105691056913</v>
      </c>
      <c r="AG14" s="13">
        <f t="shared" ref="AG14:AG19" si="36">SQRT(AD14^2-AE14^2)</f>
        <v>1.4836507379417583</v>
      </c>
      <c r="AI14" s="9">
        <v>11</v>
      </c>
      <c r="AJ14" s="10">
        <v>5</v>
      </c>
      <c r="AK14" s="10">
        <v>4</v>
      </c>
      <c r="AL14" s="10">
        <v>10</v>
      </c>
      <c r="AM14" s="10">
        <f t="shared" si="17"/>
        <v>-7</v>
      </c>
      <c r="AN14" s="10">
        <f t="shared" si="18"/>
        <v>5</v>
      </c>
      <c r="AO14" s="11">
        <f t="shared" si="19"/>
        <v>8.6023252670426267</v>
      </c>
      <c r="AP14" s="12">
        <f>$C14-AI14</f>
        <v>-1.5</v>
      </c>
      <c r="AQ14" s="12">
        <f>$D14-AJ14</f>
        <v>4.5</v>
      </c>
      <c r="AR14" s="10">
        <f t="shared" si="20"/>
        <v>4.7434164902525691</v>
      </c>
      <c r="AS14" s="10">
        <f t="shared" si="21"/>
        <v>3.8361720785460363</v>
      </c>
      <c r="AT14" s="10">
        <f t="shared" si="22"/>
        <v>0.44594594594594594</v>
      </c>
      <c r="AU14" s="13">
        <f t="shared" ref="AU14:AU19" si="37">SQRT(AR14^2-AS14^2)</f>
        <v>2.7899433298516629</v>
      </c>
      <c r="AX14" s="9">
        <v>4.5</v>
      </c>
      <c r="AY14" s="10">
        <v>7.5</v>
      </c>
      <c r="AZ14" s="10">
        <v>14.5</v>
      </c>
      <c r="BA14" s="10">
        <v>13</v>
      </c>
      <c r="BB14" s="10">
        <f t="shared" si="23"/>
        <v>10</v>
      </c>
      <c r="BC14" s="10">
        <f t="shared" si="24"/>
        <v>5.5</v>
      </c>
      <c r="BD14" s="11">
        <f t="shared" si="25"/>
        <v>11.412712210513327</v>
      </c>
      <c r="BE14" s="12">
        <f>$C14-AX14</f>
        <v>5</v>
      </c>
      <c r="BF14" s="12">
        <f>$D14-AY14</f>
        <v>2</v>
      </c>
      <c r="BG14" s="10">
        <f t="shared" si="26"/>
        <v>5.3851648071345037</v>
      </c>
      <c r="BH14" s="10">
        <f t="shared" si="27"/>
        <v>5.3449170429275474</v>
      </c>
      <c r="BI14" s="10">
        <f t="shared" si="28"/>
        <v>0.46833013435700582</v>
      </c>
      <c r="BJ14" s="13">
        <f t="shared" ref="BJ14:BJ19" si="38">SQRT(BG14^2-BH14^2)</f>
        <v>0.65716193150747737</v>
      </c>
      <c r="BL14" s="9">
        <v>0</v>
      </c>
      <c r="BM14" s="10">
        <v>15</v>
      </c>
      <c r="BN14" s="10">
        <v>10</v>
      </c>
      <c r="BO14" s="10">
        <v>15</v>
      </c>
      <c r="BP14" s="10">
        <f t="shared" si="29"/>
        <v>10</v>
      </c>
      <c r="BQ14" s="10">
        <f t="shared" si="30"/>
        <v>0</v>
      </c>
      <c r="BR14" s="11">
        <f t="shared" si="31"/>
        <v>10</v>
      </c>
      <c r="BS14" s="12">
        <f>$C14-BL14</f>
        <v>9.5</v>
      </c>
      <c r="BT14" s="12">
        <f>$D14-BM14</f>
        <v>-5.5</v>
      </c>
      <c r="BU14" s="10">
        <f t="shared" si="32"/>
        <v>10.977249200050075</v>
      </c>
      <c r="BV14" s="10">
        <f t="shared" si="33"/>
        <v>9.5</v>
      </c>
      <c r="BW14" s="10">
        <f t="shared" si="34"/>
        <v>0.95</v>
      </c>
      <c r="BX14" s="13">
        <f t="shared" ref="BX14:BX20" si="39">SQRT(BU14^2-BV14^2)</f>
        <v>5.5</v>
      </c>
    </row>
    <row r="15" spans="2:76" s="4" customFormat="1" x14ac:dyDescent="0.25">
      <c r="B15" s="4">
        <v>12</v>
      </c>
      <c r="C15" s="5">
        <v>13.5</v>
      </c>
      <c r="D15" s="5">
        <v>13</v>
      </c>
      <c r="E15" s="5">
        <v>0</v>
      </c>
      <c r="G15" s="9">
        <v>8</v>
      </c>
      <c r="H15" s="10">
        <v>2</v>
      </c>
      <c r="I15" s="10">
        <v>8</v>
      </c>
      <c r="J15" s="10">
        <v>2</v>
      </c>
      <c r="K15" s="10">
        <f t="shared" si="5"/>
        <v>0</v>
      </c>
      <c r="L15" s="10">
        <f t="shared" si="6"/>
        <v>0</v>
      </c>
      <c r="M15" s="11">
        <f t="shared" si="7"/>
        <v>0</v>
      </c>
      <c r="N15" s="12">
        <f>$C15-G15</f>
        <v>5.5</v>
      </c>
      <c r="O15" s="12">
        <f>$D15-H15</f>
        <v>11</v>
      </c>
      <c r="P15" s="10">
        <f t="shared" si="8"/>
        <v>12.298373876248844</v>
      </c>
      <c r="Q15" s="10">
        <f t="shared" si="9"/>
        <v>0</v>
      </c>
      <c r="R15" s="10">
        <f t="shared" si="10"/>
        <v>0</v>
      </c>
      <c r="S15" s="13">
        <f t="shared" si="35"/>
        <v>12.298373876248844</v>
      </c>
      <c r="U15" s="9">
        <v>2.5</v>
      </c>
      <c r="V15" s="10">
        <v>2</v>
      </c>
      <c r="W15" s="10">
        <v>10</v>
      </c>
      <c r="X15" s="10">
        <v>8</v>
      </c>
      <c r="Y15" s="10">
        <f t="shared" si="11"/>
        <v>7.5</v>
      </c>
      <c r="Z15" s="10">
        <f t="shared" si="12"/>
        <v>6</v>
      </c>
      <c r="AA15" s="11">
        <f t="shared" si="13"/>
        <v>9.6046863561492728</v>
      </c>
      <c r="AB15" s="12">
        <f>$C15-U15</f>
        <v>11</v>
      </c>
      <c r="AC15" s="12">
        <f>$D15-V15</f>
        <v>11</v>
      </c>
      <c r="AD15" s="10">
        <f t="shared" si="14"/>
        <v>15.556349186104045</v>
      </c>
      <c r="AE15" s="10">
        <f t="shared" si="15"/>
        <v>15.461202426972001</v>
      </c>
      <c r="AF15" s="10">
        <f t="shared" si="16"/>
        <v>1.6097560975609757</v>
      </c>
      <c r="AG15" s="13">
        <f t="shared" si="36"/>
        <v>1.7179113807746549</v>
      </c>
      <c r="AI15" s="9">
        <v>11</v>
      </c>
      <c r="AJ15" s="10">
        <v>5</v>
      </c>
      <c r="AK15" s="10">
        <v>4</v>
      </c>
      <c r="AL15" s="10">
        <v>10</v>
      </c>
      <c r="AM15" s="10">
        <f t="shared" si="17"/>
        <v>-7</v>
      </c>
      <c r="AN15" s="10">
        <f t="shared" si="18"/>
        <v>5</v>
      </c>
      <c r="AO15" s="11">
        <f t="shared" si="19"/>
        <v>8.6023252670426267</v>
      </c>
      <c r="AP15" s="12">
        <f>$C15-AI15</f>
        <v>2.5</v>
      </c>
      <c r="AQ15" s="12">
        <f>$D15-AJ15</f>
        <v>8</v>
      </c>
      <c r="AR15" s="10">
        <f t="shared" si="20"/>
        <v>8.3815273071201055</v>
      </c>
      <c r="AS15" s="10">
        <f t="shared" si="21"/>
        <v>2.6155718717359338</v>
      </c>
      <c r="AT15" s="10">
        <f t="shared" si="22"/>
        <v>0.30405405405405406</v>
      </c>
      <c r="AU15" s="13">
        <f t="shared" si="37"/>
        <v>7.9629632539516217</v>
      </c>
      <c r="AX15" s="9">
        <v>4.5</v>
      </c>
      <c r="AY15" s="10">
        <v>7.5</v>
      </c>
      <c r="AZ15" s="10">
        <v>14.5</v>
      </c>
      <c r="BA15" s="10">
        <v>13</v>
      </c>
      <c r="BB15" s="10">
        <f t="shared" si="23"/>
        <v>10</v>
      </c>
      <c r="BC15" s="10">
        <f t="shared" si="24"/>
        <v>5.5</v>
      </c>
      <c r="BD15" s="11">
        <f t="shared" si="25"/>
        <v>11.412712210513327</v>
      </c>
      <c r="BE15" s="12">
        <f>$C15-AX15</f>
        <v>9</v>
      </c>
      <c r="BF15" s="12">
        <f>$D15-AY15</f>
        <v>5.5</v>
      </c>
      <c r="BG15" s="10">
        <f t="shared" si="26"/>
        <v>10.547511554864494</v>
      </c>
      <c r="BH15" s="10">
        <f t="shared" si="27"/>
        <v>10.536496301836682</v>
      </c>
      <c r="BI15" s="10">
        <f t="shared" si="28"/>
        <v>0.92322456813819598</v>
      </c>
      <c r="BJ15" s="13">
        <f t="shared" si="38"/>
        <v>0.48191874977215216</v>
      </c>
      <c r="BL15" s="9">
        <v>0</v>
      </c>
      <c r="BM15" s="10">
        <v>15</v>
      </c>
      <c r="BN15" s="10">
        <v>10</v>
      </c>
      <c r="BO15" s="10">
        <v>15</v>
      </c>
      <c r="BP15" s="10">
        <f t="shared" si="29"/>
        <v>10</v>
      </c>
      <c r="BQ15" s="10">
        <f t="shared" si="30"/>
        <v>0</v>
      </c>
      <c r="BR15" s="11">
        <f t="shared" si="31"/>
        <v>10</v>
      </c>
      <c r="BS15" s="12">
        <f>$C15-BL15</f>
        <v>13.5</v>
      </c>
      <c r="BT15" s="12">
        <f>$D15-BM15</f>
        <v>-2</v>
      </c>
      <c r="BU15" s="10">
        <f t="shared" si="32"/>
        <v>13.647344063956181</v>
      </c>
      <c r="BV15" s="10">
        <f t="shared" si="33"/>
        <v>13.5</v>
      </c>
      <c r="BW15" s="10">
        <f t="shared" si="34"/>
        <v>1.35</v>
      </c>
      <c r="BX15" s="13">
        <f t="shared" si="39"/>
        <v>2.0000000000000071</v>
      </c>
    </row>
    <row r="16" spans="2:76" s="4" customFormat="1" x14ac:dyDescent="0.25">
      <c r="B16" s="4">
        <v>13</v>
      </c>
      <c r="C16" s="5">
        <v>2</v>
      </c>
      <c r="D16" s="5">
        <v>12</v>
      </c>
      <c r="E16" s="5">
        <v>0</v>
      </c>
      <c r="G16" s="9">
        <v>8</v>
      </c>
      <c r="H16" s="10">
        <v>2</v>
      </c>
      <c r="I16" s="10">
        <v>8</v>
      </c>
      <c r="J16" s="10">
        <v>2</v>
      </c>
      <c r="K16" s="10">
        <f t="shared" si="5"/>
        <v>0</v>
      </c>
      <c r="L16" s="10">
        <f t="shared" si="6"/>
        <v>0</v>
      </c>
      <c r="M16" s="11">
        <f t="shared" si="7"/>
        <v>0</v>
      </c>
      <c r="N16" s="12">
        <f>$C16-G16</f>
        <v>-6</v>
      </c>
      <c r="O16" s="12">
        <f>$D16-H16</f>
        <v>10</v>
      </c>
      <c r="P16" s="10">
        <f t="shared" si="8"/>
        <v>11.661903789690601</v>
      </c>
      <c r="Q16" s="10">
        <f t="shared" si="9"/>
        <v>0</v>
      </c>
      <c r="R16" s="10">
        <f t="shared" si="10"/>
        <v>0</v>
      </c>
      <c r="S16" s="13">
        <f t="shared" si="35"/>
        <v>11.661903789690601</v>
      </c>
      <c r="U16" s="9">
        <v>2.5</v>
      </c>
      <c r="V16" s="10">
        <v>2</v>
      </c>
      <c r="W16" s="10">
        <v>10</v>
      </c>
      <c r="X16" s="10">
        <v>8</v>
      </c>
      <c r="Y16" s="10">
        <f t="shared" si="11"/>
        <v>7.5</v>
      </c>
      <c r="Z16" s="10">
        <f t="shared" si="12"/>
        <v>6</v>
      </c>
      <c r="AA16" s="11">
        <f t="shared" si="13"/>
        <v>9.6046863561492728</v>
      </c>
      <c r="AB16" s="12">
        <f>$C16-U16</f>
        <v>-0.5</v>
      </c>
      <c r="AC16" s="12">
        <f>$D16-V16</f>
        <v>10</v>
      </c>
      <c r="AD16" s="10">
        <f t="shared" si="14"/>
        <v>10.012492197250394</v>
      </c>
      <c r="AE16" s="10">
        <f t="shared" si="15"/>
        <v>5.8565160708227273</v>
      </c>
      <c r="AF16" s="10">
        <f t="shared" si="16"/>
        <v>0.6097560975609756</v>
      </c>
      <c r="AG16" s="13">
        <f t="shared" si="36"/>
        <v>8.1210356182075163</v>
      </c>
      <c r="AI16" s="9">
        <v>11</v>
      </c>
      <c r="AJ16" s="10">
        <v>5</v>
      </c>
      <c r="AK16" s="10">
        <v>4</v>
      </c>
      <c r="AL16" s="10">
        <v>10</v>
      </c>
      <c r="AM16" s="10">
        <f t="shared" si="17"/>
        <v>-7</v>
      </c>
      <c r="AN16" s="10">
        <f t="shared" si="18"/>
        <v>5</v>
      </c>
      <c r="AO16" s="11">
        <f t="shared" si="19"/>
        <v>8.6023252670426267</v>
      </c>
      <c r="AP16" s="12">
        <f>$C16-AI16</f>
        <v>-9</v>
      </c>
      <c r="AQ16" s="12">
        <f>$D16-AJ16</f>
        <v>7</v>
      </c>
      <c r="AR16" s="10">
        <f t="shared" si="20"/>
        <v>11.401754250991379</v>
      </c>
      <c r="AS16" s="10">
        <f t="shared" si="21"/>
        <v>11.39226859689429</v>
      </c>
      <c r="AT16" s="10">
        <f t="shared" si="22"/>
        <v>1.3243243243243243</v>
      </c>
      <c r="AU16" s="13">
        <f t="shared" si="37"/>
        <v>0.46499055497525565</v>
      </c>
      <c r="AX16" s="9">
        <v>4.5</v>
      </c>
      <c r="AY16" s="10">
        <v>7.5</v>
      </c>
      <c r="AZ16" s="10">
        <v>14.5</v>
      </c>
      <c r="BA16" s="10">
        <v>13</v>
      </c>
      <c r="BB16" s="10">
        <f t="shared" si="23"/>
        <v>10</v>
      </c>
      <c r="BC16" s="10">
        <f t="shared" si="24"/>
        <v>5.5</v>
      </c>
      <c r="BD16" s="11">
        <f t="shared" si="25"/>
        <v>11.412712210513327</v>
      </c>
      <c r="BE16" s="12">
        <f>$C16-AX16</f>
        <v>-2.5</v>
      </c>
      <c r="BF16" s="12">
        <f>$D16-AY16</f>
        <v>4.5</v>
      </c>
      <c r="BG16" s="10">
        <f t="shared" si="26"/>
        <v>5.1478150704935004</v>
      </c>
      <c r="BH16" s="10">
        <f t="shared" si="27"/>
        <v>-2.1905397716916176E-2</v>
      </c>
      <c r="BI16" s="10">
        <f t="shared" si="28"/>
        <v>-1.9193857965451057E-3</v>
      </c>
      <c r="BJ16" s="13">
        <f t="shared" si="38"/>
        <v>5.1477684634753018</v>
      </c>
      <c r="BL16" s="9">
        <v>0</v>
      </c>
      <c r="BM16" s="10">
        <v>15</v>
      </c>
      <c r="BN16" s="10">
        <v>10</v>
      </c>
      <c r="BO16" s="10">
        <v>15</v>
      </c>
      <c r="BP16" s="10">
        <f t="shared" si="29"/>
        <v>10</v>
      </c>
      <c r="BQ16" s="10">
        <f t="shared" si="30"/>
        <v>0</v>
      </c>
      <c r="BR16" s="11">
        <f t="shared" si="31"/>
        <v>10</v>
      </c>
      <c r="BS16" s="12">
        <f>$C16-BL16</f>
        <v>2</v>
      </c>
      <c r="BT16" s="12">
        <f>$D16-BM16</f>
        <v>-3</v>
      </c>
      <c r="BU16" s="10">
        <f t="shared" si="32"/>
        <v>3.6055512754639891</v>
      </c>
      <c r="BV16" s="10">
        <f t="shared" si="33"/>
        <v>2</v>
      </c>
      <c r="BW16" s="10">
        <f t="shared" si="34"/>
        <v>0.2</v>
      </c>
      <c r="BX16" s="13">
        <f t="shared" si="39"/>
        <v>2.9999999999999996</v>
      </c>
    </row>
    <row r="17" spans="2:76" s="4" customFormat="1" x14ac:dyDescent="0.25">
      <c r="B17" s="4">
        <v>14</v>
      </c>
      <c r="C17" s="5">
        <v>17</v>
      </c>
      <c r="D17" s="5">
        <v>2</v>
      </c>
      <c r="E17" s="5">
        <v>0</v>
      </c>
      <c r="G17" s="9">
        <v>8</v>
      </c>
      <c r="H17" s="10">
        <v>2</v>
      </c>
      <c r="I17" s="10">
        <v>8</v>
      </c>
      <c r="J17" s="10">
        <v>2</v>
      </c>
      <c r="K17" s="10">
        <f t="shared" si="5"/>
        <v>0</v>
      </c>
      <c r="L17" s="10">
        <f t="shared" si="6"/>
        <v>0</v>
      </c>
      <c r="M17" s="11">
        <f t="shared" si="7"/>
        <v>0</v>
      </c>
      <c r="N17" s="12">
        <f>$C17-G17</f>
        <v>9</v>
      </c>
      <c r="O17" s="12">
        <f>$D17-H17</f>
        <v>0</v>
      </c>
      <c r="P17" s="10">
        <f t="shared" si="8"/>
        <v>9</v>
      </c>
      <c r="Q17" s="10">
        <f t="shared" si="9"/>
        <v>0</v>
      </c>
      <c r="R17" s="10">
        <f t="shared" si="10"/>
        <v>0</v>
      </c>
      <c r="S17" s="13">
        <f t="shared" si="35"/>
        <v>9</v>
      </c>
      <c r="U17" s="9">
        <v>2.5</v>
      </c>
      <c r="V17" s="10">
        <v>2</v>
      </c>
      <c r="W17" s="10">
        <v>10</v>
      </c>
      <c r="X17" s="10">
        <v>8</v>
      </c>
      <c r="Y17" s="10">
        <f t="shared" si="11"/>
        <v>7.5</v>
      </c>
      <c r="Z17" s="10">
        <f t="shared" si="12"/>
        <v>6</v>
      </c>
      <c r="AA17" s="11">
        <f t="shared" si="13"/>
        <v>9.6046863561492728</v>
      </c>
      <c r="AB17" s="12">
        <f>$C17-U17</f>
        <v>14.5</v>
      </c>
      <c r="AC17" s="12">
        <f>$D17-V17</f>
        <v>0</v>
      </c>
      <c r="AD17" s="10">
        <f t="shared" si="14"/>
        <v>14.5</v>
      </c>
      <c r="AE17" s="10">
        <f t="shared" si="15"/>
        <v>11.322597736923941</v>
      </c>
      <c r="AF17" s="10">
        <f t="shared" si="16"/>
        <v>1.1788617886178863</v>
      </c>
      <c r="AG17" s="13">
        <f t="shared" si="36"/>
        <v>9.0580781895391507</v>
      </c>
      <c r="AI17" s="9">
        <v>11</v>
      </c>
      <c r="AJ17" s="10">
        <v>5</v>
      </c>
      <c r="AK17" s="10">
        <v>4</v>
      </c>
      <c r="AL17" s="10">
        <v>10</v>
      </c>
      <c r="AM17" s="10">
        <f t="shared" si="17"/>
        <v>-7</v>
      </c>
      <c r="AN17" s="10">
        <f t="shared" si="18"/>
        <v>5</v>
      </c>
      <c r="AO17" s="11">
        <f t="shared" si="19"/>
        <v>8.6023252670426267</v>
      </c>
      <c r="AP17" s="12">
        <f>$C17-AI17</f>
        <v>6</v>
      </c>
      <c r="AQ17" s="12">
        <f>$D17-AJ17</f>
        <v>-3</v>
      </c>
      <c r="AR17" s="10">
        <f t="shared" si="20"/>
        <v>6.7082039324993694</v>
      </c>
      <c r="AS17" s="10">
        <f t="shared" si="21"/>
        <v>-6.6261154083976992</v>
      </c>
      <c r="AT17" s="10">
        <f t="shared" si="22"/>
        <v>-0.77027027027027029</v>
      </c>
      <c r="AU17" s="13">
        <f t="shared" si="37"/>
        <v>1.0462287486943744</v>
      </c>
      <c r="AX17" s="9">
        <v>4.5</v>
      </c>
      <c r="AY17" s="10">
        <v>7.5</v>
      </c>
      <c r="AZ17" s="10">
        <v>14.5</v>
      </c>
      <c r="BA17" s="10">
        <v>13</v>
      </c>
      <c r="BB17" s="10">
        <f t="shared" si="23"/>
        <v>10</v>
      </c>
      <c r="BC17" s="10">
        <f t="shared" si="24"/>
        <v>5.5</v>
      </c>
      <c r="BD17" s="11">
        <f t="shared" si="25"/>
        <v>11.412712210513327</v>
      </c>
      <c r="BE17" s="12">
        <f>$C17-AX17</f>
        <v>12.5</v>
      </c>
      <c r="BF17" s="12">
        <f>$D17-AY17</f>
        <v>-5.5</v>
      </c>
      <c r="BG17" s="10">
        <f t="shared" si="26"/>
        <v>13.656500283747663</v>
      </c>
      <c r="BH17" s="10">
        <f t="shared" si="27"/>
        <v>8.3021457347112317</v>
      </c>
      <c r="BI17" s="10">
        <f t="shared" si="28"/>
        <v>0.72744721689059522</v>
      </c>
      <c r="BJ17" s="13">
        <f t="shared" si="38"/>
        <v>10.843171869873506</v>
      </c>
      <c r="BL17" s="9">
        <v>0</v>
      </c>
      <c r="BM17" s="10">
        <v>15</v>
      </c>
      <c r="BN17" s="10">
        <v>10</v>
      </c>
      <c r="BO17" s="10">
        <v>15</v>
      </c>
      <c r="BP17" s="10">
        <f t="shared" si="29"/>
        <v>10</v>
      </c>
      <c r="BQ17" s="10">
        <f t="shared" si="30"/>
        <v>0</v>
      </c>
      <c r="BR17" s="11">
        <f t="shared" si="31"/>
        <v>10</v>
      </c>
      <c r="BS17" s="12">
        <f>$C17-BL17</f>
        <v>17</v>
      </c>
      <c r="BT17" s="12">
        <f>$D17-BM17</f>
        <v>-13</v>
      </c>
      <c r="BU17" s="10">
        <f t="shared" si="32"/>
        <v>21.400934559032695</v>
      </c>
      <c r="BV17" s="10">
        <f t="shared" si="33"/>
        <v>17</v>
      </c>
      <c r="BW17" s="10">
        <f t="shared" si="34"/>
        <v>1.7</v>
      </c>
      <c r="BX17" s="13">
        <f t="shared" si="39"/>
        <v>12.999999999999998</v>
      </c>
    </row>
    <row r="18" spans="2:76" s="4" customFormat="1" x14ac:dyDescent="0.25">
      <c r="B18" s="4">
        <v>15</v>
      </c>
      <c r="C18" s="5">
        <v>1.5</v>
      </c>
      <c r="D18" s="5">
        <v>2</v>
      </c>
      <c r="E18" s="5">
        <v>0</v>
      </c>
      <c r="G18" s="9">
        <v>8</v>
      </c>
      <c r="H18" s="10">
        <v>2</v>
      </c>
      <c r="I18" s="10">
        <v>8</v>
      </c>
      <c r="J18" s="10">
        <v>2</v>
      </c>
      <c r="K18" s="10">
        <f t="shared" si="5"/>
        <v>0</v>
      </c>
      <c r="L18" s="10">
        <f t="shared" si="6"/>
        <v>0</v>
      </c>
      <c r="M18" s="11">
        <f t="shared" si="7"/>
        <v>0</v>
      </c>
      <c r="N18" s="12">
        <f>$C18-G18</f>
        <v>-6.5</v>
      </c>
      <c r="O18" s="12">
        <f>$D18-H18</f>
        <v>0</v>
      </c>
      <c r="P18" s="10">
        <f t="shared" si="8"/>
        <v>6.5</v>
      </c>
      <c r="Q18" s="10">
        <f t="shared" si="9"/>
        <v>0</v>
      </c>
      <c r="R18" s="10">
        <f t="shared" si="10"/>
        <v>0</v>
      </c>
      <c r="S18" s="13">
        <f t="shared" si="35"/>
        <v>6.5</v>
      </c>
      <c r="U18" s="9">
        <v>2.5</v>
      </c>
      <c r="V18" s="10">
        <v>2</v>
      </c>
      <c r="W18" s="10">
        <v>10</v>
      </c>
      <c r="X18" s="10">
        <v>8</v>
      </c>
      <c r="Y18" s="10">
        <f t="shared" si="11"/>
        <v>7.5</v>
      </c>
      <c r="Z18" s="10">
        <f t="shared" si="12"/>
        <v>6</v>
      </c>
      <c r="AA18" s="11">
        <f t="shared" si="13"/>
        <v>9.6046863561492728</v>
      </c>
      <c r="AB18" s="12">
        <f>$C18-U18</f>
        <v>-1</v>
      </c>
      <c r="AC18" s="12">
        <f>$D18-V18</f>
        <v>0</v>
      </c>
      <c r="AD18" s="10">
        <f t="shared" si="14"/>
        <v>1</v>
      </c>
      <c r="AE18" s="10">
        <f t="shared" si="15"/>
        <v>-0.78086880944303039</v>
      </c>
      <c r="AF18" s="10">
        <f t="shared" si="16"/>
        <v>-8.1300813008130093E-2</v>
      </c>
      <c r="AG18" s="13">
        <f t="shared" si="36"/>
        <v>0.62469504755442418</v>
      </c>
      <c r="AI18" s="9">
        <v>11</v>
      </c>
      <c r="AJ18" s="10">
        <v>5</v>
      </c>
      <c r="AK18" s="10">
        <v>4</v>
      </c>
      <c r="AL18" s="10">
        <v>10</v>
      </c>
      <c r="AM18" s="10">
        <f t="shared" si="17"/>
        <v>-7</v>
      </c>
      <c r="AN18" s="10">
        <f t="shared" si="18"/>
        <v>5</v>
      </c>
      <c r="AO18" s="11">
        <f t="shared" si="19"/>
        <v>8.6023252670426267</v>
      </c>
      <c r="AP18" s="12">
        <f>$C18-AI18</f>
        <v>-9.5</v>
      </c>
      <c r="AQ18" s="12">
        <f>$D18-AJ18</f>
        <v>-3</v>
      </c>
      <c r="AR18" s="10">
        <f t="shared" si="20"/>
        <v>9.9624294225856378</v>
      </c>
      <c r="AS18" s="10">
        <f t="shared" si="21"/>
        <v>5.9867533953066934</v>
      </c>
      <c r="AT18" s="10">
        <f t="shared" si="22"/>
        <v>0.69594594594594605</v>
      </c>
      <c r="AU18" s="13">
        <f t="shared" si="37"/>
        <v>7.96296325395162</v>
      </c>
      <c r="AX18" s="9">
        <v>4.5</v>
      </c>
      <c r="AY18" s="10">
        <v>7.5</v>
      </c>
      <c r="AZ18" s="10">
        <v>14.5</v>
      </c>
      <c r="BA18" s="10">
        <v>13</v>
      </c>
      <c r="BB18" s="10">
        <f t="shared" si="23"/>
        <v>10</v>
      </c>
      <c r="BC18" s="10">
        <f t="shared" si="24"/>
        <v>5.5</v>
      </c>
      <c r="BD18" s="11">
        <f t="shared" si="25"/>
        <v>11.412712210513327</v>
      </c>
      <c r="BE18" s="12">
        <f>$C18-AX18</f>
        <v>-3</v>
      </c>
      <c r="BF18" s="12">
        <f>$D18-AY18</f>
        <v>-5.5</v>
      </c>
      <c r="BG18" s="10">
        <f t="shared" si="26"/>
        <v>6.2649820430708338</v>
      </c>
      <c r="BH18" s="10">
        <f t="shared" si="27"/>
        <v>-5.2792008497767986</v>
      </c>
      <c r="BI18" s="10">
        <f t="shared" si="28"/>
        <v>-0.46257197696737051</v>
      </c>
      <c r="BJ18" s="13">
        <f t="shared" si="38"/>
        <v>3.3734312484050903</v>
      </c>
      <c r="BL18" s="9">
        <v>0</v>
      </c>
      <c r="BM18" s="10">
        <v>15</v>
      </c>
      <c r="BN18" s="10">
        <v>10</v>
      </c>
      <c r="BO18" s="10">
        <v>15</v>
      </c>
      <c r="BP18" s="10">
        <f t="shared" si="29"/>
        <v>10</v>
      </c>
      <c r="BQ18" s="10">
        <f t="shared" si="30"/>
        <v>0</v>
      </c>
      <c r="BR18" s="11">
        <f t="shared" si="31"/>
        <v>10</v>
      </c>
      <c r="BS18" s="12">
        <f>$C18-BL18</f>
        <v>1.5</v>
      </c>
      <c r="BT18" s="12">
        <f>$D18-BM18</f>
        <v>-13</v>
      </c>
      <c r="BU18" s="10">
        <f t="shared" si="32"/>
        <v>13.0862523283024</v>
      </c>
      <c r="BV18" s="10">
        <f t="shared" si="33"/>
        <v>1.5</v>
      </c>
      <c r="BW18" s="10">
        <f t="shared" si="34"/>
        <v>0.15</v>
      </c>
      <c r="BX18" s="13">
        <f t="shared" si="39"/>
        <v>13</v>
      </c>
    </row>
    <row r="19" spans="2:76" s="4" customFormat="1" ht="15.75" thickBot="1" x14ac:dyDescent="0.3">
      <c r="B19" s="4">
        <v>16</v>
      </c>
      <c r="C19" s="5">
        <v>8</v>
      </c>
      <c r="D19" s="5">
        <v>1.5</v>
      </c>
      <c r="E19" s="5">
        <v>0</v>
      </c>
      <c r="G19" s="19">
        <v>8</v>
      </c>
      <c r="H19" s="20">
        <v>2</v>
      </c>
      <c r="I19" s="20">
        <v>8</v>
      </c>
      <c r="J19" s="20">
        <v>2</v>
      </c>
      <c r="K19" s="20">
        <f t="shared" si="5"/>
        <v>0</v>
      </c>
      <c r="L19" s="20">
        <f t="shared" si="6"/>
        <v>0</v>
      </c>
      <c r="M19" s="21">
        <f t="shared" si="7"/>
        <v>0</v>
      </c>
      <c r="N19" s="22">
        <f>$C19-G19</f>
        <v>0</v>
      </c>
      <c r="O19" s="22">
        <f>$D19-H19</f>
        <v>-0.5</v>
      </c>
      <c r="P19" s="20">
        <f t="shared" si="8"/>
        <v>0.5</v>
      </c>
      <c r="Q19" s="20">
        <f t="shared" si="9"/>
        <v>0</v>
      </c>
      <c r="R19" s="20">
        <f t="shared" si="10"/>
        <v>0</v>
      </c>
      <c r="S19" s="23">
        <f t="shared" si="35"/>
        <v>0.5</v>
      </c>
      <c r="U19" s="19">
        <v>2.5</v>
      </c>
      <c r="V19" s="20">
        <v>2</v>
      </c>
      <c r="W19" s="10">
        <v>10</v>
      </c>
      <c r="X19" s="10">
        <v>8</v>
      </c>
      <c r="Y19" s="20">
        <f t="shared" si="11"/>
        <v>7.5</v>
      </c>
      <c r="Z19" s="20">
        <f t="shared" si="12"/>
        <v>6</v>
      </c>
      <c r="AA19" s="21">
        <f t="shared" si="13"/>
        <v>9.6046863561492728</v>
      </c>
      <c r="AB19" s="22">
        <f>$C19-U19</f>
        <v>5.5</v>
      </c>
      <c r="AC19" s="22">
        <f>$D19-V19</f>
        <v>-0.5</v>
      </c>
      <c r="AD19" s="20">
        <f t="shared" si="14"/>
        <v>5.5226805085936306</v>
      </c>
      <c r="AE19" s="20">
        <f t="shared" si="15"/>
        <v>3.982430928159455</v>
      </c>
      <c r="AF19" s="20">
        <f t="shared" si="16"/>
        <v>0.41463414634146345</v>
      </c>
      <c r="AG19" s="23">
        <f t="shared" si="36"/>
        <v>3.8262571662708487</v>
      </c>
      <c r="AI19" s="19">
        <v>11</v>
      </c>
      <c r="AJ19" s="20">
        <v>5</v>
      </c>
      <c r="AK19" s="20">
        <v>4</v>
      </c>
      <c r="AL19" s="20">
        <v>10</v>
      </c>
      <c r="AM19" s="20">
        <f t="shared" si="17"/>
        <v>-7</v>
      </c>
      <c r="AN19" s="20">
        <f t="shared" si="18"/>
        <v>5</v>
      </c>
      <c r="AO19" s="21">
        <f t="shared" si="19"/>
        <v>8.6023252670426267</v>
      </c>
      <c r="AP19" s="22">
        <f>$C19-AI19</f>
        <v>-3</v>
      </c>
      <c r="AQ19" s="22">
        <f>$D19-AJ19</f>
        <v>-3.5</v>
      </c>
      <c r="AR19" s="20">
        <f t="shared" si="20"/>
        <v>4.6097722286464435</v>
      </c>
      <c r="AS19" s="20">
        <f t="shared" si="21"/>
        <v>0.4068667356033675</v>
      </c>
      <c r="AT19" s="20">
        <f t="shared" si="22"/>
        <v>4.72972972972973E-2</v>
      </c>
      <c r="AU19" s="23">
        <f t="shared" si="37"/>
        <v>4.5917817303808617</v>
      </c>
      <c r="AX19" s="19">
        <v>4.5</v>
      </c>
      <c r="AY19" s="20">
        <v>7.5</v>
      </c>
      <c r="AZ19" s="20">
        <v>14.5</v>
      </c>
      <c r="BA19" s="20">
        <v>13</v>
      </c>
      <c r="BB19" s="20">
        <f t="shared" si="23"/>
        <v>10</v>
      </c>
      <c r="BC19" s="20">
        <f t="shared" si="24"/>
        <v>5.5</v>
      </c>
      <c r="BD19" s="21">
        <f t="shared" si="25"/>
        <v>11.412712210513327</v>
      </c>
      <c r="BE19" s="22">
        <f>$C19-AX19</f>
        <v>3.5</v>
      </c>
      <c r="BF19" s="22">
        <f>$D19-AY19</f>
        <v>-6</v>
      </c>
      <c r="BG19" s="20">
        <f t="shared" si="26"/>
        <v>6.946221994724902</v>
      </c>
      <c r="BH19" s="20">
        <f t="shared" si="27"/>
        <v>0.17524318173532941</v>
      </c>
      <c r="BI19" s="20">
        <f t="shared" si="28"/>
        <v>1.5355086372360846E-2</v>
      </c>
      <c r="BJ19" s="23">
        <f t="shared" si="38"/>
        <v>6.9440110762624272</v>
      </c>
      <c r="BL19" s="9">
        <v>0</v>
      </c>
      <c r="BM19" s="10">
        <v>15</v>
      </c>
      <c r="BN19" s="10">
        <v>10</v>
      </c>
      <c r="BO19" s="10">
        <v>15</v>
      </c>
      <c r="BP19" s="20">
        <f t="shared" si="29"/>
        <v>10</v>
      </c>
      <c r="BQ19" s="20">
        <f t="shared" si="30"/>
        <v>0</v>
      </c>
      <c r="BR19" s="21">
        <f t="shared" si="31"/>
        <v>10</v>
      </c>
      <c r="BS19" s="22">
        <f>$C19-BL19</f>
        <v>8</v>
      </c>
      <c r="BT19" s="22">
        <f>$D19-BM19</f>
        <v>-13.5</v>
      </c>
      <c r="BU19" s="20">
        <f t="shared" si="32"/>
        <v>15.692354826475215</v>
      </c>
      <c r="BV19" s="20">
        <f t="shared" si="33"/>
        <v>8</v>
      </c>
      <c r="BW19" s="20">
        <f t="shared" si="34"/>
        <v>0.8</v>
      </c>
      <c r="BX19" s="23">
        <f t="shared" si="39"/>
        <v>13.499999999999998</v>
      </c>
    </row>
    <row r="20" spans="2:76" s="4" customFormat="1" ht="15.75" thickBot="1" x14ac:dyDescent="0.3">
      <c r="B20" s="4">
        <v>17</v>
      </c>
      <c r="C20" s="5">
        <v>4.5</v>
      </c>
      <c r="D20" s="5">
        <v>13.25</v>
      </c>
      <c r="E20" s="5">
        <v>1</v>
      </c>
      <c r="G20" s="19">
        <v>8</v>
      </c>
      <c r="H20" s="20">
        <v>2</v>
      </c>
      <c r="I20" s="20">
        <v>8</v>
      </c>
      <c r="J20" s="20">
        <v>2</v>
      </c>
      <c r="K20" s="20">
        <f t="shared" ref="K20" si="40">I20-G20</f>
        <v>0</v>
      </c>
      <c r="L20" s="20">
        <f t="shared" ref="L20" si="41">J20-H20</f>
        <v>0</v>
      </c>
      <c r="M20" s="21">
        <f t="shared" ref="M20" si="42">SQRT(K20^2+L20^2)</f>
        <v>0</v>
      </c>
      <c r="N20" s="22">
        <f>$C20-G20</f>
        <v>-3.5</v>
      </c>
      <c r="O20" s="22">
        <f>$D20-H20</f>
        <v>11.25</v>
      </c>
      <c r="P20" s="20">
        <f t="shared" ref="P20" si="43">SQRT(N20^2+O20^2)</f>
        <v>11.781871667948179</v>
      </c>
      <c r="Q20" s="20">
        <f t="shared" ref="Q20" si="44">IFERROR((K20*N20+L20*O20)/M20,0)</f>
        <v>0</v>
      </c>
      <c r="R20" s="20">
        <f t="shared" ref="R20" si="45">IFERROR(Q20/M20,0)</f>
        <v>0</v>
      </c>
      <c r="S20" s="23">
        <f t="shared" ref="S20" si="46">SQRT(P20^2-Q20^2)</f>
        <v>11.781871667948179</v>
      </c>
      <c r="U20" s="19">
        <v>2.5</v>
      </c>
      <c r="V20" s="20">
        <v>2</v>
      </c>
      <c r="W20" s="10">
        <v>10</v>
      </c>
      <c r="X20" s="10">
        <v>8</v>
      </c>
      <c r="Y20" s="20">
        <f t="shared" ref="Y20" si="47">W20-U20</f>
        <v>7.5</v>
      </c>
      <c r="Z20" s="20">
        <f t="shared" ref="Z20" si="48">X20-V20</f>
        <v>6</v>
      </c>
      <c r="AA20" s="21">
        <f t="shared" ref="AA20" si="49">SQRT(Y20^2+Z20^2)</f>
        <v>9.6046863561492728</v>
      </c>
      <c r="AB20" s="22">
        <f>$C20-U20</f>
        <v>2</v>
      </c>
      <c r="AC20" s="22">
        <f>$D20-V20</f>
        <v>11.25</v>
      </c>
      <c r="AD20" s="20">
        <f t="shared" ref="AD20" si="50">SQRT(AB20^2+AC20^2)</f>
        <v>11.42639488202644</v>
      </c>
      <c r="AE20" s="20">
        <f t="shared" ref="AE20" si="51">(Y20*AB20+Z20*AC20)/AA20</f>
        <v>8.5895569038733335</v>
      </c>
      <c r="AF20" s="20">
        <f t="shared" ref="AF20" si="52">AE20/AA20</f>
        <v>0.89430894308943087</v>
      </c>
      <c r="AG20" s="23">
        <f t="shared" ref="AG20" si="53">SQRT(AD20^2-AE20^2)</f>
        <v>7.5353840111252426</v>
      </c>
      <c r="AI20" s="19">
        <v>11</v>
      </c>
      <c r="AJ20" s="20">
        <v>5</v>
      </c>
      <c r="AK20" s="20">
        <v>4</v>
      </c>
      <c r="AL20" s="20">
        <v>10</v>
      </c>
      <c r="AM20" s="20">
        <f t="shared" ref="AM20" si="54">AK20-AI20</f>
        <v>-7</v>
      </c>
      <c r="AN20" s="20">
        <f t="shared" ref="AN20" si="55">AL20-AJ20</f>
        <v>5</v>
      </c>
      <c r="AO20" s="21">
        <f t="shared" ref="AO20" si="56">SQRT(AM20^2+AN20^2)</f>
        <v>8.6023252670426267</v>
      </c>
      <c r="AP20" s="22">
        <f>$C20-AI20</f>
        <v>-6.5</v>
      </c>
      <c r="AQ20" s="22">
        <f>$D20-AJ20</f>
        <v>8.25</v>
      </c>
      <c r="AR20" s="20">
        <f t="shared" ref="AR20" si="57">SQRT(AP20^2+AQ20^2)</f>
        <v>10.502975768800002</v>
      </c>
      <c r="AS20" s="20">
        <f t="shared" ref="AS20" si="58">(AM20*AP20+AN20*AQ20)/AO20</f>
        <v>10.084482661026323</v>
      </c>
      <c r="AT20" s="20">
        <f t="shared" ref="AT20" si="59">AS20/AO20</f>
        <v>1.1722972972972974</v>
      </c>
      <c r="AU20" s="23">
        <f t="shared" ref="AU20" si="60">SQRT(AR20^2-AS20^2)</f>
        <v>2.9352528782814358</v>
      </c>
      <c r="AX20" s="19">
        <v>4.5</v>
      </c>
      <c r="AY20" s="20">
        <v>7.5</v>
      </c>
      <c r="AZ20" s="20">
        <v>14.5</v>
      </c>
      <c r="BA20" s="20">
        <v>13</v>
      </c>
      <c r="BB20" s="20">
        <f t="shared" ref="BB20" si="61">AZ20-AX20</f>
        <v>10</v>
      </c>
      <c r="BC20" s="20">
        <f t="shared" ref="BC20" si="62">BA20-AY20</f>
        <v>5.5</v>
      </c>
      <c r="BD20" s="21">
        <f t="shared" ref="BD20" si="63">SQRT(BB20^2+BC20^2)</f>
        <v>11.412712210513327</v>
      </c>
      <c r="BE20" s="22">
        <f>$C20-AX20</f>
        <v>0</v>
      </c>
      <c r="BF20" s="22">
        <f>$D20-AY20</f>
        <v>5.75</v>
      </c>
      <c r="BG20" s="20">
        <f t="shared" ref="BG20" si="64">SQRT(BE20^2+BF20^2)</f>
        <v>5.75</v>
      </c>
      <c r="BH20" s="20">
        <f t="shared" ref="BH20" si="65">(BB20*BE20+BC20*BF20)/BD20</f>
        <v>2.7710328111898965</v>
      </c>
      <c r="BI20" s="20">
        <f t="shared" ref="BI20" si="66">BH20/BD20</f>
        <v>0.2428023032629559</v>
      </c>
      <c r="BJ20" s="23">
        <f t="shared" ref="BJ20" si="67">SQRT(BG20^2-BH20^2)</f>
        <v>5.0382414748907198</v>
      </c>
      <c r="BL20" s="9">
        <v>0</v>
      </c>
      <c r="BM20" s="10">
        <v>15</v>
      </c>
      <c r="BN20" s="10">
        <v>10</v>
      </c>
      <c r="BO20" s="10">
        <v>15</v>
      </c>
      <c r="BP20" s="20">
        <f t="shared" si="29"/>
        <v>10</v>
      </c>
      <c r="BQ20" s="20">
        <f t="shared" si="30"/>
        <v>0</v>
      </c>
      <c r="BR20" s="21">
        <f t="shared" si="31"/>
        <v>10</v>
      </c>
      <c r="BS20" s="22">
        <f>$C20-BL20</f>
        <v>4.5</v>
      </c>
      <c r="BT20" s="22">
        <f>$D20-BM20</f>
        <v>-1.75</v>
      </c>
      <c r="BU20" s="20">
        <f t="shared" si="32"/>
        <v>4.8283019789569916</v>
      </c>
      <c r="BV20" s="20">
        <f t="shared" si="33"/>
        <v>4.5</v>
      </c>
      <c r="BW20" s="20">
        <f t="shared" si="34"/>
        <v>0.45</v>
      </c>
      <c r="BX20" s="23">
        <f t="shared" si="39"/>
        <v>1.7500000000000011</v>
      </c>
    </row>
    <row r="21" spans="2:76" s="4" customFormat="1" x14ac:dyDescent="0.25">
      <c r="C21" s="5"/>
      <c r="D21" s="5"/>
      <c r="E21" s="5"/>
    </row>
  </sheetData>
  <phoneticPr fontId="1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3F7F9-529B-49C3-B10D-3D2668992E1C}">
  <sheetPr filterMode="1"/>
  <dimension ref="C2:M74"/>
  <sheetViews>
    <sheetView tabSelected="1" topLeftCell="B1" workbookViewId="0">
      <selection activeCell="G84" sqref="G84"/>
    </sheetView>
  </sheetViews>
  <sheetFormatPr defaultRowHeight="15" x14ac:dyDescent="0.25"/>
  <cols>
    <col min="6" max="6" width="29.7109375" customWidth="1"/>
    <col min="7" max="8" width="25.28515625" customWidth="1"/>
    <col min="9" max="9" width="22.85546875" customWidth="1"/>
    <col min="10" max="10" width="16.7109375" customWidth="1"/>
    <col min="13" max="13" width="47.28515625" customWidth="1"/>
  </cols>
  <sheetData>
    <row r="2" spans="3:13" x14ac:dyDescent="0.25">
      <c r="C2" t="s">
        <v>17</v>
      </c>
      <c r="D2" t="s">
        <v>20</v>
      </c>
      <c r="E2" t="s">
        <v>18</v>
      </c>
      <c r="F2" t="s">
        <v>11</v>
      </c>
      <c r="G2" t="s">
        <v>13</v>
      </c>
      <c r="H2" t="s">
        <v>16</v>
      </c>
      <c r="I2" t="s">
        <v>14</v>
      </c>
      <c r="J2" t="s">
        <v>15</v>
      </c>
    </row>
    <row r="3" spans="3:13" hidden="1" x14ac:dyDescent="0.25">
      <c r="C3">
        <v>0</v>
      </c>
      <c r="D3">
        <f>VLOOKUP(C3,Лист1!$B$3:$E$20,4,0)</f>
        <v>0</v>
      </c>
      <c r="E3">
        <v>1</v>
      </c>
      <c r="F3">
        <v>0.87804878048780488</v>
      </c>
      <c r="G3">
        <v>4.1386046900480622</v>
      </c>
      <c r="H3">
        <f>G3^2</f>
        <v>17.128048780487816</v>
      </c>
      <c r="I3" t="str">
        <f>IF(AND(F3&gt;0,F3&lt;1),"ok","NO")</f>
        <v>ok</v>
      </c>
      <c r="J3" t="str">
        <f>IF(AND(G3&lt;1+D3,I3="ok"),"yes","NO")</f>
        <v>NO</v>
      </c>
      <c r="M3" t="str">
        <f>"{"&amp;Лист2!C3&amp;", "&amp;E3&amp;", "&amp;H3&amp;", "&amp;F3&amp;"},"</f>
        <v>{0, 1, 17,1280487804878, 0,878048780487805},</v>
      </c>
    </row>
    <row r="4" spans="3:13" x14ac:dyDescent="0.25">
      <c r="C4">
        <v>10</v>
      </c>
      <c r="D4">
        <f>VLOOKUP(C4,Лист1!$B$3:$E$20,4,0)</f>
        <v>0</v>
      </c>
      <c r="E4">
        <v>3</v>
      </c>
      <c r="F4" s="38">
        <v>3.8387715930902115E-2</v>
      </c>
      <c r="G4" s="38">
        <v>0.24095937488607783</v>
      </c>
      <c r="H4">
        <f>G4^2</f>
        <v>5.8061420345489397E-2</v>
      </c>
      <c r="I4" t="str">
        <f>IF(AND(F4&gt;0,F4&lt;1),"ok","NO")</f>
        <v>ok</v>
      </c>
      <c r="J4" t="str">
        <f>IF(AND(G4&lt;1+D4,I4="ok"),"yes","NO")</f>
        <v>yes</v>
      </c>
      <c r="M4" t="str">
        <f>"{"&amp;Лист2!C4&amp;", "&amp;E4&amp;", "&amp;H4&amp;", "&amp;F4&amp;"},"</f>
        <v>{10, 3, 0,0580614203454894, 0,0383877159309021},</v>
      </c>
    </row>
    <row r="5" spans="3:13" x14ac:dyDescent="0.25">
      <c r="C5">
        <v>9</v>
      </c>
      <c r="D5">
        <f>VLOOKUP(C5,Лист1!$B$3:$E$20,4,0)</f>
        <v>0</v>
      </c>
      <c r="E5">
        <v>3</v>
      </c>
      <c r="F5" s="38">
        <v>0.11900191938579656</v>
      </c>
      <c r="G5" s="38">
        <v>0.3942971589044913</v>
      </c>
      <c r="H5">
        <f>G5^2</f>
        <v>0.15547024952015365</v>
      </c>
      <c r="I5" t="str">
        <f>IF(AND(F5&gt;0,F5&lt;1),"ok","NO")</f>
        <v>ok</v>
      </c>
      <c r="J5" t="str">
        <f>IF(AND(G5&lt;1+D5,I5="ok"),"yes","NO")</f>
        <v>yes</v>
      </c>
      <c r="M5" t="str">
        <f>"{"&amp;Лист2!C5&amp;", "&amp;E5&amp;", "&amp;H5&amp;", "&amp;F5&amp;"},"</f>
        <v>{9, 3, 0,155470249520154, 0,119001919385797},</v>
      </c>
    </row>
    <row r="6" spans="3:13" x14ac:dyDescent="0.25">
      <c r="C6">
        <v>8</v>
      </c>
      <c r="D6">
        <f>VLOOKUP(C6,Лист1!$B$3:$E$20,4,0)</f>
        <v>0</v>
      </c>
      <c r="E6">
        <v>3</v>
      </c>
      <c r="F6" s="38">
        <v>0.17466410748560462</v>
      </c>
      <c r="G6" s="38">
        <v>0.52572954520598747</v>
      </c>
      <c r="H6">
        <f>G6^2</f>
        <v>0.27639155470249444</v>
      </c>
      <c r="I6" t="str">
        <f>IF(AND(F6&gt;0,F6&lt;1),"ok","NO")</f>
        <v>ok</v>
      </c>
      <c r="J6" t="str">
        <f>IF(AND(G6&lt;1+D6,I6="ok"),"yes","NO")</f>
        <v>yes</v>
      </c>
      <c r="M6" t="str">
        <f>"{"&amp;Лист2!C6&amp;", "&amp;E6&amp;", "&amp;H6&amp;", "&amp;F6&amp;"},"</f>
        <v>{8, 3, 0,276391554702494, 0,174664107485605},</v>
      </c>
    </row>
    <row r="7" spans="3:13" hidden="1" x14ac:dyDescent="0.25">
      <c r="C7">
        <v>4</v>
      </c>
      <c r="D7">
        <f>VLOOKUP(C7,Лист1!$B$3:$E$20,4,0)</f>
        <v>0</v>
      </c>
      <c r="E7">
        <v>1</v>
      </c>
      <c r="F7">
        <v>9.7560975609756101E-2</v>
      </c>
      <c r="G7">
        <v>1.1713032141645456</v>
      </c>
      <c r="H7">
        <f>G7^2</f>
        <v>1.3719512195121955</v>
      </c>
      <c r="I7" t="str">
        <f>IF(AND(F7&gt;0,F7&lt;1),"ok","NO")</f>
        <v>ok</v>
      </c>
      <c r="J7" t="str">
        <f>IF(AND(G7&lt;1+D7,I7="ok"),"yes","NO")</f>
        <v>NO</v>
      </c>
      <c r="M7" t="str">
        <f>"{"&amp;Лист2!C7&amp;", "&amp;E7&amp;", "&amp;H7&amp;", "&amp;F7&amp;"},"</f>
        <v>{4, 1, 1,3719512195122, 0,0975609756097561},</v>
      </c>
    </row>
    <row r="8" spans="3:13" x14ac:dyDescent="0.25">
      <c r="C8">
        <v>3</v>
      </c>
      <c r="D8">
        <f>VLOOKUP(C8,Лист1!$B$3:$E$20,4,0)</f>
        <v>0</v>
      </c>
      <c r="E8">
        <v>1</v>
      </c>
      <c r="F8" s="38">
        <v>0.22764227642276424</v>
      </c>
      <c r="G8" s="38">
        <v>0.46852128566581935</v>
      </c>
      <c r="H8">
        <f>G8^2</f>
        <v>0.2195121951219523</v>
      </c>
      <c r="I8" t="str">
        <f>IF(AND(F8&gt;0,F8&lt;1),"ok","NO")</f>
        <v>ok</v>
      </c>
      <c r="J8" t="str">
        <f>IF(AND(G8&lt;1+D8,I8="ok"),"yes","NO")</f>
        <v>yes</v>
      </c>
      <c r="M8" t="str">
        <f>"{"&amp;Лист2!C8&amp;", "&amp;E8&amp;", "&amp;H8&amp;", "&amp;F8&amp;"},"</f>
        <v>{3, 1, 0,219512195121952, 0,227642276422764},</v>
      </c>
    </row>
    <row r="9" spans="3:13" x14ac:dyDescent="0.25">
      <c r="C9">
        <v>5</v>
      </c>
      <c r="D9">
        <f>VLOOKUP(C9,Лист1!$B$3:$E$20,4,0)</f>
        <v>0</v>
      </c>
      <c r="E9">
        <v>2</v>
      </c>
      <c r="F9">
        <v>0.30405405405405406</v>
      </c>
      <c r="G9">
        <v>0.63936201309100571</v>
      </c>
      <c r="H9">
        <f>G9^2</f>
        <v>0.40878378378378338</v>
      </c>
      <c r="I9" t="str">
        <f>IF(AND(F9&gt;0,F9&lt;1),"ok","NO")</f>
        <v>ok</v>
      </c>
      <c r="J9" t="str">
        <f>IF(AND(G9&lt;1+D9,I9="ok"),"yes","NO")</f>
        <v>yes</v>
      </c>
      <c r="M9" t="str">
        <f>"{"&amp;Лист2!C9&amp;", "&amp;E9&amp;", "&amp;H9&amp;", "&amp;F9&amp;"},"</f>
        <v>{5, 2, 0,408783783783783, 0,304054054054054},</v>
      </c>
    </row>
    <row r="10" spans="3:13" hidden="1" x14ac:dyDescent="0.25">
      <c r="C10">
        <v>7</v>
      </c>
      <c r="D10">
        <f>VLOOKUP(C10,Лист1!$B$3:$E$20,4,0)</f>
        <v>0</v>
      </c>
      <c r="E10">
        <v>1</v>
      </c>
      <c r="F10">
        <v>0.61788617886178865</v>
      </c>
      <c r="G10">
        <v>1.0151294522759398</v>
      </c>
      <c r="H10">
        <f>G10^2</f>
        <v>1.0304878048780495</v>
      </c>
      <c r="I10" t="str">
        <f>IF(AND(F10&gt;0,F10&lt;1),"ok","NO")</f>
        <v>ok</v>
      </c>
      <c r="J10" t="str">
        <f>IF(AND(G10&lt;1+D10,I10="ok"),"yes","NO")</f>
        <v>NO</v>
      </c>
      <c r="M10" t="str">
        <f>"{"&amp;Лист2!C10&amp;", "&amp;E10&amp;", "&amp;H10&amp;", "&amp;F10&amp;"},"</f>
        <v>{7, 1, 1,03048780487805, 0,617886178861789},</v>
      </c>
    </row>
    <row r="11" spans="3:13" hidden="1" x14ac:dyDescent="0.25">
      <c r="C11">
        <v>8</v>
      </c>
      <c r="D11">
        <f>VLOOKUP(C11,Лист1!$B$3:$E$20,4,0)</f>
        <v>0</v>
      </c>
      <c r="E11">
        <v>1</v>
      </c>
      <c r="F11">
        <v>0.71544715447154472</v>
      </c>
      <c r="G11">
        <v>2.1864326664404836</v>
      </c>
      <c r="H11">
        <f>G11^2</f>
        <v>4.7804878048780433</v>
      </c>
      <c r="I11" t="str">
        <f>IF(AND(F11&gt;0,F11&lt;1),"ok","NO")</f>
        <v>ok</v>
      </c>
      <c r="J11" t="str">
        <f>IF(AND(G11&lt;1+D11,I11="ok"),"yes","NO")</f>
        <v>NO</v>
      </c>
      <c r="M11" t="str">
        <f>"{"&amp;Лист2!C11&amp;", "&amp;E11&amp;", "&amp;H11&amp;", "&amp;F11&amp;"},"</f>
        <v>{8, 1, 4,78048780487804, 0,715447154471545},</v>
      </c>
    </row>
    <row r="12" spans="3:13" hidden="1" x14ac:dyDescent="0.25">
      <c r="C12">
        <v>9</v>
      </c>
      <c r="D12">
        <f>VLOOKUP(C12,Лист1!$B$3:$E$20,4,0)</f>
        <v>0</v>
      </c>
      <c r="E12">
        <v>1</v>
      </c>
      <c r="F12">
        <v>0.66666666666666663</v>
      </c>
      <c r="G12">
        <v>3.2015621187164243</v>
      </c>
      <c r="H12">
        <f>G12^2</f>
        <v>10.25</v>
      </c>
      <c r="I12" t="str">
        <f>IF(AND(F12&gt;0,F12&lt;1),"ok","NO")</f>
        <v>ok</v>
      </c>
      <c r="J12" t="str">
        <f>IF(AND(G12&lt;1+D12,I12="ok"),"yes","NO")</f>
        <v>NO</v>
      </c>
      <c r="M12" t="str">
        <f>"{"&amp;Лист2!C12&amp;", "&amp;E12&amp;", "&amp;H12&amp;", "&amp;F12&amp;"},"</f>
        <v>{9, 1, 10,25, 0,666666666666667},</v>
      </c>
    </row>
    <row r="13" spans="3:13" hidden="1" x14ac:dyDescent="0.25">
      <c r="C13">
        <v>10</v>
      </c>
      <c r="D13">
        <f>VLOOKUP(C13,Лист1!$B$3:$E$20,4,0)</f>
        <v>0</v>
      </c>
      <c r="E13">
        <v>1</v>
      </c>
      <c r="F13">
        <v>0.56097560975609762</v>
      </c>
      <c r="G13">
        <v>2.7330408330506062</v>
      </c>
      <c r="H13">
        <f>G13^2</f>
        <v>7.4695121951219514</v>
      </c>
      <c r="I13" t="str">
        <f>IF(AND(F13&gt;0,F13&lt;1),"ok","NO")</f>
        <v>ok</v>
      </c>
      <c r="J13" t="str">
        <f>IF(AND(G13&lt;1+D13,I13="ok"),"yes","NO")</f>
        <v>NO</v>
      </c>
      <c r="M13" t="str">
        <f>"{"&amp;Лист2!C13&amp;", "&amp;E13&amp;", "&amp;H13&amp;", "&amp;F13&amp;"},"</f>
        <v>{10, 1, 7,46951219512195, 0,560975609756098},</v>
      </c>
    </row>
    <row r="14" spans="3:13" hidden="1" x14ac:dyDescent="0.25">
      <c r="C14">
        <v>11</v>
      </c>
      <c r="D14">
        <f>VLOOKUP(C14,Лист1!$B$3:$E$20,4,0)</f>
        <v>0</v>
      </c>
      <c r="E14">
        <v>1</v>
      </c>
      <c r="F14">
        <v>1.0569105691056913</v>
      </c>
      <c r="G14">
        <v>1.4836507379417583</v>
      </c>
      <c r="H14">
        <f>G14^2</f>
        <v>2.2012195121951237</v>
      </c>
      <c r="I14" t="str">
        <f>IF(AND(F14&gt;0,F14&lt;1),"ok","NO")</f>
        <v>NO</v>
      </c>
      <c r="J14" t="str">
        <f>IF(AND(G14&lt;1+D14,I14="ok"),"yes","NO")</f>
        <v>NO</v>
      </c>
      <c r="M14" t="str">
        <f>"{"&amp;Лист2!C14&amp;", "&amp;E14&amp;", "&amp;H14&amp;", "&amp;F14&amp;"},"</f>
        <v>{11, 1, 2,20121951219512, 1,05691056910569},</v>
      </c>
    </row>
    <row r="15" spans="3:13" hidden="1" x14ac:dyDescent="0.25">
      <c r="C15">
        <v>12</v>
      </c>
      <c r="D15">
        <f>VLOOKUP(C15,Лист1!$B$3:$E$20,4,0)</f>
        <v>0</v>
      </c>
      <c r="E15">
        <v>1</v>
      </c>
      <c r="F15">
        <v>1.6097560975609757</v>
      </c>
      <c r="G15">
        <v>1.7179113807746549</v>
      </c>
      <c r="H15">
        <f>G15^2</f>
        <v>2.9512195121950815</v>
      </c>
      <c r="I15" t="str">
        <f>IF(AND(F15&gt;0,F15&lt;1),"ok","NO")</f>
        <v>NO</v>
      </c>
      <c r="J15" t="str">
        <f>IF(AND(G15&lt;1+D15,I15="ok"),"yes","NO")</f>
        <v>NO</v>
      </c>
      <c r="M15" t="str">
        <f>"{"&amp;Лист2!C15&amp;", "&amp;E15&amp;", "&amp;H15&amp;", "&amp;F15&amp;"},"</f>
        <v>{12, 1, 2,95121951219508, 1,60975609756098},</v>
      </c>
    </row>
    <row r="16" spans="3:13" hidden="1" x14ac:dyDescent="0.25">
      <c r="C16">
        <v>13</v>
      </c>
      <c r="D16">
        <f>VLOOKUP(C16,Лист1!$B$3:$E$20,4,0)</f>
        <v>0</v>
      </c>
      <c r="E16">
        <v>1</v>
      </c>
      <c r="F16">
        <v>0.6097560975609756</v>
      </c>
      <c r="G16">
        <v>8.1210356182075163</v>
      </c>
      <c r="H16">
        <f>G16^2</f>
        <v>65.951219512195138</v>
      </c>
      <c r="I16" t="str">
        <f>IF(AND(F16&gt;0,F16&lt;1),"ok","NO")</f>
        <v>ok</v>
      </c>
      <c r="J16" t="str">
        <f>IF(AND(G16&lt;1+D16,I16="ok"),"yes","NO")</f>
        <v>NO</v>
      </c>
      <c r="M16" t="str">
        <f>"{"&amp;Лист2!C16&amp;", "&amp;E16&amp;", "&amp;H16&amp;", "&amp;F16&amp;"},"</f>
        <v>{13, 1, 65,9512195121951, 0,609756097560976},</v>
      </c>
    </row>
    <row r="17" spans="3:13" hidden="1" x14ac:dyDescent="0.25">
      <c r="C17">
        <v>14</v>
      </c>
      <c r="D17">
        <f>VLOOKUP(C17,Лист1!$B$3:$E$20,4,0)</f>
        <v>0</v>
      </c>
      <c r="E17">
        <v>1</v>
      </c>
      <c r="F17">
        <v>1.1788617886178863</v>
      </c>
      <c r="G17">
        <v>9.0580781895391507</v>
      </c>
      <c r="H17">
        <f>G17^2</f>
        <v>82.048780487804862</v>
      </c>
      <c r="I17" t="str">
        <f>IF(AND(F17&gt;0,F17&lt;1),"ok","NO")</f>
        <v>NO</v>
      </c>
      <c r="J17" t="str">
        <f>IF(AND(G17&lt;1+D17,I17="ok"),"yes","NO")</f>
        <v>NO</v>
      </c>
      <c r="M17" t="str">
        <f>"{"&amp;Лист2!C17&amp;", "&amp;E17&amp;", "&amp;H17&amp;", "&amp;F17&amp;"},"</f>
        <v>{14, 1, 82,0487804878049, 1,17886178861789},</v>
      </c>
    </row>
    <row r="18" spans="3:13" hidden="1" x14ac:dyDescent="0.25">
      <c r="C18">
        <v>15</v>
      </c>
      <c r="D18">
        <f>VLOOKUP(C18,Лист1!$B$3:$E$20,4,0)</f>
        <v>0</v>
      </c>
      <c r="E18">
        <v>1</v>
      </c>
      <c r="F18">
        <v>-8.1300813008130093E-2</v>
      </c>
      <c r="G18">
        <v>0.62469504755442418</v>
      </c>
      <c r="H18">
        <f>G18^2</f>
        <v>0.39024390243902429</v>
      </c>
      <c r="I18" t="str">
        <f>IF(AND(F18&gt;0,F18&lt;1),"ok","NO")</f>
        <v>NO</v>
      </c>
      <c r="J18" t="str">
        <f>IF(AND(G18&lt;1+D18,I18="ok"),"yes","NO")</f>
        <v>NO</v>
      </c>
      <c r="M18" t="str">
        <f>"{"&amp;Лист2!C18&amp;", "&amp;E18&amp;", "&amp;H18&amp;", "&amp;F18&amp;"},"</f>
        <v>{15, 1, 0,390243902439024, -0,0813008130081301},</v>
      </c>
    </row>
    <row r="19" spans="3:13" hidden="1" x14ac:dyDescent="0.25">
      <c r="C19">
        <v>16</v>
      </c>
      <c r="D19">
        <f>VLOOKUP(C19,Лист1!$B$3:$E$20,4,0)</f>
        <v>0</v>
      </c>
      <c r="E19">
        <v>1</v>
      </c>
      <c r="F19">
        <v>0.41463414634146345</v>
      </c>
      <c r="G19">
        <v>3.8262571662708487</v>
      </c>
      <c r="H19">
        <f>G19^2</f>
        <v>14.640243902439025</v>
      </c>
      <c r="I19" t="str">
        <f>IF(AND(F19&gt;0,F19&lt;1),"ok","NO")</f>
        <v>ok</v>
      </c>
      <c r="J19" t="str">
        <f>IF(AND(G19&lt;1+D19,I19="ok"),"yes","NO")</f>
        <v>NO</v>
      </c>
      <c r="M19" t="str">
        <f>"{"&amp;Лист2!C19&amp;", "&amp;E19&amp;", "&amp;H19&amp;", "&amp;F19&amp;"},"</f>
        <v>{16, 1, 14,640243902439, 0,414634146341463},</v>
      </c>
    </row>
    <row r="20" spans="3:13" hidden="1" x14ac:dyDescent="0.25">
      <c r="C20">
        <v>17</v>
      </c>
      <c r="D20">
        <f>VLOOKUP(C20,Лист1!$B$3:$E$20,4,0)</f>
        <v>1</v>
      </c>
      <c r="E20">
        <v>1</v>
      </c>
      <c r="F20">
        <v>0.89430894308943087</v>
      </c>
      <c r="G20">
        <v>7.5353840111252426</v>
      </c>
      <c r="H20">
        <f>G20^2</f>
        <v>56.782012195121951</v>
      </c>
      <c r="I20" t="str">
        <f>IF(AND(F20&gt;0,F20&lt;1),"ok","NO")</f>
        <v>ok</v>
      </c>
      <c r="J20" t="str">
        <f>IF(AND(G20&lt;1+D20,I20="ok"),"yes","NO")</f>
        <v>NO</v>
      </c>
      <c r="M20" t="str">
        <f>"{"&amp;Лист2!C20&amp;", "&amp;E20&amp;", "&amp;H20&amp;", "&amp;F20&amp;"},"</f>
        <v>{17, 1, 56,782012195122, 0,894308943089431},</v>
      </c>
    </row>
    <row r="21" spans="3:13" hidden="1" x14ac:dyDescent="0.25">
      <c r="C21">
        <v>0</v>
      </c>
      <c r="D21">
        <f>VLOOKUP(C21,Лист1!$B$3:$E$20,4,0)</f>
        <v>0</v>
      </c>
      <c r="E21">
        <v>2</v>
      </c>
      <c r="F21" s="38">
        <v>0.79729729729729726</v>
      </c>
      <c r="G21" s="38">
        <v>1.8599622199011085</v>
      </c>
      <c r="H21">
        <f>G21^2</f>
        <v>3.4594594594594597</v>
      </c>
      <c r="I21" t="str">
        <f>IF(AND(F21&gt;0,F21&lt;1),"ok","NO")</f>
        <v>ok</v>
      </c>
      <c r="J21" t="str">
        <f>IF(AND(G21&lt;1+D21,I21="ok"),"yes","NO")</f>
        <v>NO</v>
      </c>
      <c r="M21" t="str">
        <f>"{"&amp;Лист2!C21&amp;", "&amp;E21&amp;", "&amp;H21&amp;", "&amp;F21&amp;"},"</f>
        <v>{0, 2, 3,45945945945946, 0,797297297297297},</v>
      </c>
    </row>
    <row r="22" spans="3:13" x14ac:dyDescent="0.25">
      <c r="C22">
        <v>1</v>
      </c>
      <c r="D22">
        <f>VLOOKUP(C22,Лист1!$B$3:$E$20,4,0)</f>
        <v>0</v>
      </c>
      <c r="E22">
        <v>2</v>
      </c>
      <c r="F22">
        <v>0.40540540540540537</v>
      </c>
      <c r="G22">
        <v>0.58123819371909857</v>
      </c>
      <c r="H22">
        <f>G22^2</f>
        <v>0.33783783783784038</v>
      </c>
      <c r="I22" t="str">
        <f>IF(AND(F22&gt;0,F22&lt;1),"ok","NO")</f>
        <v>ok</v>
      </c>
      <c r="J22" t="str">
        <f>IF(AND(G22&lt;1+D22,I22="ok"),"yes","NO")</f>
        <v>yes</v>
      </c>
      <c r="M22" t="str">
        <f>"{"&amp;Лист2!C22&amp;", "&amp;E22&amp;", "&amp;H22&amp;", "&amp;F22&amp;"},"</f>
        <v>{1, 2, 0,33783783783784, 0,405405405405405},</v>
      </c>
    </row>
    <row r="23" spans="3:13" hidden="1" x14ac:dyDescent="0.25">
      <c r="C23">
        <v>2</v>
      </c>
      <c r="D23">
        <f>VLOOKUP(C23,Лист1!$B$3:$E$20,4,0)</f>
        <v>0</v>
      </c>
      <c r="E23">
        <v>2</v>
      </c>
      <c r="F23">
        <v>0.26351351351351349</v>
      </c>
      <c r="G23">
        <v>1.4530954842977408</v>
      </c>
      <c r="H23">
        <f>G23^2</f>
        <v>2.111486486486486</v>
      </c>
      <c r="I23" t="str">
        <f>IF(AND(F23&gt;0,F23&lt;1),"ok","NO")</f>
        <v>ok</v>
      </c>
      <c r="J23" t="str">
        <f>IF(AND(G23&lt;1+D23,I23="ok"),"yes","NO")</f>
        <v>NO</v>
      </c>
      <c r="M23" t="str">
        <f>"{"&amp;Лист2!C23&amp;", "&amp;E23&amp;", "&amp;H23&amp;", "&amp;F23&amp;"},"</f>
        <v>{2, 2, 2,11148648648649, 0,263513513513513},</v>
      </c>
    </row>
    <row r="24" spans="3:13" hidden="1" x14ac:dyDescent="0.25">
      <c r="C24">
        <v>3</v>
      </c>
      <c r="D24">
        <f>VLOOKUP(C24,Лист1!$B$3:$E$20,4,0)</f>
        <v>0</v>
      </c>
      <c r="E24">
        <v>2</v>
      </c>
      <c r="F24">
        <v>0.47972972972972971</v>
      </c>
      <c r="G24">
        <v>5.4055152015875976</v>
      </c>
      <c r="H24">
        <f>G24^2</f>
        <v>29.219594594594607</v>
      </c>
      <c r="I24" t="str">
        <f>IF(AND(F24&gt;0,F24&lt;1),"ok","NO")</f>
        <v>ok</v>
      </c>
      <c r="J24" t="str">
        <f>IF(AND(G24&lt;1+D24,I24="ok"),"yes","NO")</f>
        <v>NO</v>
      </c>
      <c r="M24" t="str">
        <f>"{"&amp;Лист2!C24&amp;", "&amp;E24&amp;", "&amp;H24&amp;", "&amp;F24&amp;"},"</f>
        <v>{3, 2, 29,2195945945946, 0,47972972972973},</v>
      </c>
    </row>
    <row r="25" spans="3:13" hidden="1" x14ac:dyDescent="0.25">
      <c r="C25">
        <v>4</v>
      </c>
      <c r="D25">
        <f>VLOOKUP(C25,Лист1!$B$3:$E$20,4,0)</f>
        <v>0</v>
      </c>
      <c r="E25">
        <v>2</v>
      </c>
      <c r="F25" s="38">
        <v>0.70270270270270274</v>
      </c>
      <c r="G25" s="38">
        <v>6.1611248534224217</v>
      </c>
      <c r="H25">
        <f>G25^2</f>
        <v>37.95945945945946</v>
      </c>
      <c r="I25" t="str">
        <f>IF(AND(F25&gt;0,F25&lt;1),"ok","NO")</f>
        <v>ok</v>
      </c>
      <c r="J25" t="str">
        <f>IF(AND(G25&lt;1+D25,I25="ok"),"yes","NO")</f>
        <v>NO</v>
      </c>
      <c r="M25" t="str">
        <f>"{"&amp;Лист2!C25&amp;", "&amp;E25&amp;", "&amp;H25&amp;", "&amp;F25&amp;"},"</f>
        <v>{4, 2, 37,9594594594595, 0,702702702702703},</v>
      </c>
    </row>
    <row r="26" spans="3:13" x14ac:dyDescent="0.25">
      <c r="C26">
        <v>17</v>
      </c>
      <c r="D26">
        <f>VLOOKUP(C26,Лист1!$B$3:$E$20,4,0)</f>
        <v>1</v>
      </c>
      <c r="E26">
        <v>4</v>
      </c>
      <c r="F26">
        <v>0.45</v>
      </c>
      <c r="G26">
        <v>1.7500000000000011</v>
      </c>
      <c r="H26">
        <f>G26^2</f>
        <v>3.062500000000004</v>
      </c>
      <c r="I26" t="str">
        <f>IF(AND(F26&gt;0,F26&lt;1),"ok","NO")</f>
        <v>ok</v>
      </c>
      <c r="J26" t="str">
        <f>IF(AND(G26&lt;1+D26,I26="ok"),"yes","NO")</f>
        <v>yes</v>
      </c>
      <c r="M26" t="str">
        <f>"{"&amp;Лист2!C26&amp;", "&amp;E26&amp;", "&amp;H26&amp;", "&amp;F26&amp;"},"</f>
        <v>{17, 4, 3,0625, 0,45},</v>
      </c>
    </row>
    <row r="27" spans="3:13" hidden="1" x14ac:dyDescent="0.25">
      <c r="C27">
        <v>6</v>
      </c>
      <c r="D27">
        <f>VLOOKUP(C27,Лист1!$B$3:$E$20,4,0)</f>
        <v>0</v>
      </c>
      <c r="E27">
        <v>2</v>
      </c>
      <c r="F27">
        <v>0.44594594594594594</v>
      </c>
      <c r="G27">
        <v>1.5112193036696508</v>
      </c>
      <c r="H27">
        <f>G27^2</f>
        <v>2.2837837837837842</v>
      </c>
      <c r="I27" t="str">
        <f>IF(AND(F27&gt;0,F27&lt;1),"ok","NO")</f>
        <v>ok</v>
      </c>
      <c r="J27" t="str">
        <f>IF(AND(G27&lt;1+D27,I27="ok"),"yes","NO")</f>
        <v>NO</v>
      </c>
      <c r="M27" t="str">
        <f>"{"&amp;Лист2!C27&amp;", "&amp;E27&amp;", "&amp;H27&amp;", "&amp;F27&amp;"},"</f>
        <v>{6, 2, 2,28378378378378, 0,445945945945946},</v>
      </c>
    </row>
    <row r="28" spans="3:13" hidden="1" x14ac:dyDescent="0.25">
      <c r="C28">
        <v>7</v>
      </c>
      <c r="D28">
        <f>VLOOKUP(C28,Лист1!$B$3:$E$20,4,0)</f>
        <v>0</v>
      </c>
      <c r="E28">
        <v>2</v>
      </c>
      <c r="F28" s="38">
        <v>0.52702702702702697</v>
      </c>
      <c r="G28" s="38">
        <v>1.3949716649258319</v>
      </c>
      <c r="H28">
        <f>G28^2</f>
        <v>1.9459459459459474</v>
      </c>
      <c r="I28" t="str">
        <f>IF(AND(F28&gt;0,F28&lt;1),"ok","NO")</f>
        <v>ok</v>
      </c>
      <c r="J28" t="str">
        <f>IF(AND(G28&lt;1+D28,I28="ok"),"yes","NO")</f>
        <v>NO</v>
      </c>
      <c r="M28" t="str">
        <f>"{"&amp;Лист2!C28&amp;", "&amp;E28&amp;", "&amp;H28&amp;", "&amp;F28&amp;"},"</f>
        <v>{7, 2, 1,94594594594595, 0,527027027027027},</v>
      </c>
    </row>
    <row r="29" spans="3:13" x14ac:dyDescent="0.25">
      <c r="C29">
        <v>11</v>
      </c>
      <c r="D29">
        <f>VLOOKUP(C29,Лист1!$B$3:$E$20,4,0)</f>
        <v>0</v>
      </c>
      <c r="E29">
        <v>3</v>
      </c>
      <c r="F29">
        <v>0.46833013435700582</v>
      </c>
      <c r="G29">
        <v>0.65716193150747737</v>
      </c>
      <c r="H29">
        <f>G29^2</f>
        <v>0.43186180422263837</v>
      </c>
      <c r="I29" t="str">
        <f>IF(AND(F29&gt;0,F29&lt;1),"ok","NO")</f>
        <v>ok</v>
      </c>
      <c r="J29" t="str">
        <f>IF(AND(G29&lt;1+D29,I29="ok"),"yes","NO")</f>
        <v>yes</v>
      </c>
      <c r="M29" t="str">
        <f>"{"&amp;Лист2!C29&amp;", "&amp;E29&amp;", "&amp;H29&amp;", "&amp;F29&amp;"},"</f>
        <v>{11, 3, 0,431861804222638, 0,468330134357006},</v>
      </c>
    </row>
    <row r="30" spans="3:13" x14ac:dyDescent="0.25">
      <c r="C30">
        <v>6</v>
      </c>
      <c r="D30">
        <f>VLOOKUP(C30,Лист1!$B$3:$E$20,4,0)</f>
        <v>0</v>
      </c>
      <c r="E30">
        <v>1</v>
      </c>
      <c r="F30" s="38">
        <v>0.6260162601626017</v>
      </c>
      <c r="G30" s="38">
        <v>0.31234752377720659</v>
      </c>
      <c r="H30">
        <f>G30^2</f>
        <v>9.7560975609752631E-2</v>
      </c>
      <c r="I30" t="str">
        <f>IF(AND(F30&gt;0,F30&lt;1),"ok","NO")</f>
        <v>ok</v>
      </c>
      <c r="J30" t="str">
        <f>IF(AND(G30&lt;1+D30,I30="ok"),"yes","NO")</f>
        <v>yes</v>
      </c>
      <c r="M30" t="str">
        <f>"{"&amp;Лист2!C30&amp;", "&amp;E30&amp;", "&amp;H30&amp;", "&amp;F30&amp;"},"</f>
        <v>{6, 1, 0,0975609756097526, 0,626016260162602},</v>
      </c>
    </row>
    <row r="31" spans="3:13" hidden="1" x14ac:dyDescent="0.25">
      <c r="C31">
        <v>10</v>
      </c>
      <c r="D31">
        <f>VLOOKUP(C31,Лист1!$B$3:$E$20,4,0)</f>
        <v>0</v>
      </c>
      <c r="E31">
        <v>2</v>
      </c>
      <c r="F31">
        <v>0.73648648648648651</v>
      </c>
      <c r="G31">
        <v>1.4530954842977402</v>
      </c>
      <c r="H31">
        <f>G31^2</f>
        <v>2.1114864864864842</v>
      </c>
      <c r="I31" t="str">
        <f>IF(AND(F31&gt;0,F31&lt;1),"ok","NO")</f>
        <v>ok</v>
      </c>
      <c r="J31" t="str">
        <f>IF(AND(G31&lt;1+D31,I31="ok"),"yes","NO")</f>
        <v>NO</v>
      </c>
      <c r="M31" t="str">
        <f>"{"&amp;Лист2!C31&amp;", "&amp;E31&amp;", "&amp;H31&amp;", "&amp;F31&amp;"},"</f>
        <v>{10, 2, 2,11148648648648, 0,736486486486487},</v>
      </c>
    </row>
    <row r="32" spans="3:13" hidden="1" x14ac:dyDescent="0.25">
      <c r="C32">
        <v>11</v>
      </c>
      <c r="D32">
        <f>VLOOKUP(C32,Лист1!$B$3:$E$20,4,0)</f>
        <v>0</v>
      </c>
      <c r="E32">
        <v>2</v>
      </c>
      <c r="F32">
        <v>0.44594594594594594</v>
      </c>
      <c r="G32">
        <v>2.7899433298516629</v>
      </c>
      <c r="H32">
        <f>G32^2</f>
        <v>7.7837837837837851</v>
      </c>
      <c r="I32" t="str">
        <f>IF(AND(F32&gt;0,F32&lt;1),"ok","NO")</f>
        <v>ok</v>
      </c>
      <c r="J32" t="str">
        <f>IF(AND(G32&lt;1+D32,I32="ok"),"yes","NO")</f>
        <v>NO</v>
      </c>
      <c r="M32" t="str">
        <f>"{"&amp;Лист2!C32&amp;", "&amp;E32&amp;", "&amp;H32&amp;", "&amp;F32&amp;"},"</f>
        <v>{11, 2, 7,78378378378379, 0,445945945945946},</v>
      </c>
    </row>
    <row r="33" spans="3:13" hidden="1" x14ac:dyDescent="0.25">
      <c r="C33">
        <v>12</v>
      </c>
      <c r="D33">
        <f>VLOOKUP(C33,Лист1!$B$3:$E$20,4,0)</f>
        <v>0</v>
      </c>
      <c r="E33">
        <v>2</v>
      </c>
      <c r="F33">
        <v>0.30405405405405406</v>
      </c>
      <c r="G33">
        <v>7.9629632539516217</v>
      </c>
      <c r="H33">
        <f>G33^2</f>
        <v>63.408783783783797</v>
      </c>
      <c r="I33" t="str">
        <f>IF(AND(F33&gt;0,F33&lt;1),"ok","NO")</f>
        <v>ok</v>
      </c>
      <c r="J33" t="str">
        <f>IF(AND(G33&lt;1+D33,I33="ok"),"yes","NO")</f>
        <v>NO</v>
      </c>
      <c r="M33" t="str">
        <f>"{"&amp;Лист2!C33&amp;", "&amp;E33&amp;", "&amp;H33&amp;", "&amp;F33&amp;"},"</f>
        <v>{12, 2, 63,4087837837838, 0,304054054054054},</v>
      </c>
    </row>
    <row r="34" spans="3:13" hidden="1" x14ac:dyDescent="0.25">
      <c r="C34">
        <v>13</v>
      </c>
      <c r="D34">
        <f>VLOOKUP(C34,Лист1!$B$3:$E$20,4,0)</f>
        <v>0</v>
      </c>
      <c r="E34">
        <v>2</v>
      </c>
      <c r="F34">
        <v>1.3243243243243243</v>
      </c>
      <c r="G34">
        <v>0.46499055497525565</v>
      </c>
      <c r="H34">
        <f>G34^2</f>
        <v>0.21621621621619624</v>
      </c>
      <c r="I34" t="str">
        <f>IF(AND(F34&gt;0,F34&lt;1),"ok","NO")</f>
        <v>NO</v>
      </c>
      <c r="J34" t="str">
        <f>IF(AND(G34&lt;1+D34,I34="ok"),"yes","NO")</f>
        <v>NO</v>
      </c>
      <c r="M34" t="str">
        <f>"{"&amp;Лист2!C34&amp;", "&amp;E34&amp;", "&amp;H34&amp;", "&amp;F34&amp;"},"</f>
        <v>{13, 2, 0,216216216216196, 1,32432432432432},</v>
      </c>
    </row>
    <row r="35" spans="3:13" hidden="1" x14ac:dyDescent="0.25">
      <c r="C35">
        <v>14</v>
      </c>
      <c r="D35">
        <f>VLOOKUP(C35,Лист1!$B$3:$E$20,4,0)</f>
        <v>0</v>
      </c>
      <c r="E35">
        <v>2</v>
      </c>
      <c r="F35">
        <v>-0.77027027027027029</v>
      </c>
      <c r="G35">
        <v>1.0462287486943744</v>
      </c>
      <c r="H35">
        <f>G35^2</f>
        <v>1.0945945945945965</v>
      </c>
      <c r="I35" t="str">
        <f>IF(AND(F35&gt;0,F35&lt;1),"ok","NO")</f>
        <v>NO</v>
      </c>
      <c r="J35" t="str">
        <f>IF(AND(G35&lt;1+D35,I35="ok"),"yes","NO")</f>
        <v>NO</v>
      </c>
      <c r="M35" t="str">
        <f>"{"&amp;Лист2!C35&amp;", "&amp;E35&amp;", "&amp;H35&amp;", "&amp;F35&amp;"},"</f>
        <v>{14, 2, 1,0945945945946, -0,77027027027027},</v>
      </c>
    </row>
    <row r="36" spans="3:13" hidden="1" x14ac:dyDescent="0.25">
      <c r="C36">
        <v>15</v>
      </c>
      <c r="D36">
        <f>VLOOKUP(C36,Лист1!$B$3:$E$20,4,0)</f>
        <v>0</v>
      </c>
      <c r="E36">
        <v>2</v>
      </c>
      <c r="F36">
        <v>0.69594594594594605</v>
      </c>
      <c r="G36">
        <v>7.96296325395162</v>
      </c>
      <c r="H36">
        <f>G36^2</f>
        <v>63.408783783783768</v>
      </c>
      <c r="I36" t="str">
        <f>IF(AND(F36&gt;0,F36&lt;1),"ok","NO")</f>
        <v>ok</v>
      </c>
      <c r="J36" t="str">
        <f>IF(AND(G36&lt;1+D36,I36="ok"),"yes","NO")</f>
        <v>NO</v>
      </c>
      <c r="M36" t="str">
        <f>"{"&amp;Лист2!C36&amp;", "&amp;E36&amp;", "&amp;H36&amp;", "&amp;F36&amp;"},"</f>
        <v>{15, 2, 63,4087837837838, 0,695945945945946},</v>
      </c>
    </row>
    <row r="37" spans="3:13" hidden="1" x14ac:dyDescent="0.25">
      <c r="C37">
        <v>16</v>
      </c>
      <c r="D37">
        <f>VLOOKUP(C37,Лист1!$B$3:$E$20,4,0)</f>
        <v>0</v>
      </c>
      <c r="E37">
        <v>2</v>
      </c>
      <c r="F37">
        <v>4.72972972972973E-2</v>
      </c>
      <c r="G37">
        <v>4.5917817303808617</v>
      </c>
      <c r="H37">
        <f>G37^2</f>
        <v>21.08445945945946</v>
      </c>
      <c r="I37" t="str">
        <f>IF(AND(F37&gt;0,F37&lt;1),"ok","NO")</f>
        <v>ok</v>
      </c>
      <c r="J37" t="str">
        <f>IF(AND(G37&lt;1+D37,I37="ok"),"yes","NO")</f>
        <v>NO</v>
      </c>
      <c r="M37" t="str">
        <f>"{"&amp;Лист2!C37&amp;", "&amp;E37&amp;", "&amp;H37&amp;", "&amp;F37&amp;"},"</f>
        <v>{16, 2, 21,0844594594595, 0,0472972972972973},</v>
      </c>
    </row>
    <row r="38" spans="3:13" hidden="1" x14ac:dyDescent="0.25">
      <c r="C38">
        <v>17</v>
      </c>
      <c r="D38">
        <f>VLOOKUP(C38,Лист1!$B$3:$E$20,4,0)</f>
        <v>1</v>
      </c>
      <c r="E38">
        <v>2</v>
      </c>
      <c r="F38">
        <v>1.1722972972972974</v>
      </c>
      <c r="G38">
        <v>2.9352528782814358</v>
      </c>
      <c r="H38">
        <f>G38^2</f>
        <v>8.6157094594594525</v>
      </c>
      <c r="I38" t="str">
        <f>IF(AND(F38&gt;0,F38&lt;1),"ok","NO")</f>
        <v>NO</v>
      </c>
      <c r="J38" t="str">
        <f>IF(AND(G38&lt;1+D38,I38="ok"),"yes","NO")</f>
        <v>NO</v>
      </c>
      <c r="M38" t="str">
        <f>"{"&amp;Лист2!C38&amp;", "&amp;E38&amp;", "&amp;H38&amp;", "&amp;F38&amp;"},"</f>
        <v>{17, 2, 8,61570945945945, 1,1722972972973},</v>
      </c>
    </row>
    <row r="39" spans="3:13" hidden="1" x14ac:dyDescent="0.25">
      <c r="C39">
        <v>0</v>
      </c>
      <c r="D39">
        <f>VLOOKUP(C39,Лист1!$B$3:$E$20,4,0)</f>
        <v>0</v>
      </c>
      <c r="E39">
        <v>3</v>
      </c>
      <c r="F39">
        <v>0.28023032629558542</v>
      </c>
      <c r="G39">
        <v>1.6648102264856286</v>
      </c>
      <c r="H39">
        <f>G39^2</f>
        <v>2.7715930902111299</v>
      </c>
      <c r="I39" t="str">
        <f>IF(AND(F39&gt;0,F39&lt;1),"ok","NO")</f>
        <v>ok</v>
      </c>
      <c r="J39" t="str">
        <f>IF(AND(G39&lt;1+D39,I39="ok"),"yes","NO")</f>
        <v>NO</v>
      </c>
      <c r="M39" t="str">
        <f>"{"&amp;Лист2!C39&amp;", "&amp;E39&amp;", "&amp;H39&amp;", "&amp;F39&amp;"},"</f>
        <v>{0, 3, 2,77159309021113, 0,280230326295585},</v>
      </c>
    </row>
    <row r="40" spans="3:13" hidden="1" x14ac:dyDescent="0.25">
      <c r="C40">
        <v>1</v>
      </c>
      <c r="D40">
        <f>VLOOKUP(C40,Лист1!$B$3:$E$20,4,0)</f>
        <v>0</v>
      </c>
      <c r="E40">
        <v>3</v>
      </c>
      <c r="F40">
        <v>0.30710172744721692</v>
      </c>
      <c r="G40">
        <v>1.9276749990886226</v>
      </c>
      <c r="H40">
        <f>G40^2</f>
        <v>3.7159309021113214</v>
      </c>
      <c r="I40" t="str">
        <f>IF(AND(F40&gt;0,F40&lt;1),"ok","NO")</f>
        <v>ok</v>
      </c>
      <c r="J40" t="str">
        <f>IF(AND(G40&lt;1+D40,I40="ok"),"yes","NO")</f>
        <v>NO</v>
      </c>
      <c r="M40" t="str">
        <f>"{"&amp;Лист2!C40&amp;", "&amp;E40&amp;", "&amp;H40&amp;", "&amp;F40&amp;"},"</f>
        <v>{1, 3, 3,71593090211132, 0,307101727447217},</v>
      </c>
    </row>
    <row r="41" spans="3:13" hidden="1" x14ac:dyDescent="0.25">
      <c r="C41">
        <v>2</v>
      </c>
      <c r="D41">
        <f>VLOOKUP(C41,Лист1!$B$3:$E$20,4,0)</f>
        <v>0</v>
      </c>
      <c r="E41">
        <v>3</v>
      </c>
      <c r="F41">
        <v>0.42226487523992323</v>
      </c>
      <c r="G41">
        <v>2.6505531237468571</v>
      </c>
      <c r="H41">
        <f>G41^2</f>
        <v>7.025431861804222</v>
      </c>
      <c r="I41" t="str">
        <f>IF(AND(F41&gt;0,F41&lt;1),"ok","NO")</f>
        <v>ok</v>
      </c>
      <c r="J41" t="str">
        <f>IF(AND(G41&lt;1+D41,I41="ok"),"yes","NO")</f>
        <v>NO</v>
      </c>
      <c r="M41" t="str">
        <f>"{"&amp;Лист2!C41&amp;", "&amp;E41&amp;", "&amp;H41&amp;", "&amp;F41&amp;"},"</f>
        <v>{2, 3, 7,02543186180422, 0,422264875239923},</v>
      </c>
    </row>
    <row r="42" spans="3:13" hidden="1" x14ac:dyDescent="0.25">
      <c r="C42">
        <v>3</v>
      </c>
      <c r="D42">
        <f>VLOOKUP(C42,Лист1!$B$3:$E$20,4,0)</f>
        <v>0</v>
      </c>
      <c r="E42">
        <v>3</v>
      </c>
      <c r="F42">
        <v>-0.19001919385796545</v>
      </c>
      <c r="G42">
        <v>3.9429715890449115</v>
      </c>
      <c r="H42">
        <f>G42^2</f>
        <v>15.547024952015354</v>
      </c>
      <c r="I42" t="str">
        <f>IF(AND(F42&gt;0,F42&lt;1),"ok","NO")</f>
        <v>NO</v>
      </c>
      <c r="J42" t="str">
        <f>IF(AND(G42&lt;1+D42,I42="ok"),"yes","NO")</f>
        <v>NO</v>
      </c>
      <c r="M42" t="str">
        <f>"{"&amp;Лист2!C42&amp;", "&amp;E42&amp;", "&amp;H42&amp;", "&amp;F42&amp;"},"</f>
        <v>{3, 3, 15,5470249520154, -0,190019193857965},</v>
      </c>
    </row>
    <row r="43" spans="3:13" hidden="1" x14ac:dyDescent="0.25">
      <c r="C43">
        <v>4</v>
      </c>
      <c r="D43">
        <f>VLOOKUP(C43,Лист1!$B$3:$E$20,4,0)</f>
        <v>0</v>
      </c>
      <c r="E43">
        <v>3</v>
      </c>
      <c r="F43">
        <v>-0.32245681381957775</v>
      </c>
      <c r="G43">
        <v>2.5410261351622769</v>
      </c>
      <c r="H43">
        <f>G43^2</f>
        <v>6.4568138195777385</v>
      </c>
      <c r="I43" t="str">
        <f>IF(AND(F43&gt;0,F43&lt;1),"ok","NO")</f>
        <v>NO</v>
      </c>
      <c r="J43" t="str">
        <f>IF(AND(G43&lt;1+D43,I43="ok"),"yes","NO")</f>
        <v>NO</v>
      </c>
      <c r="M43" t="str">
        <f>"{"&amp;Лист2!C43&amp;", "&amp;E43&amp;", "&amp;H43&amp;", "&amp;F43&amp;"},"</f>
        <v>{4, 3, 6,45681381957774, -0,322456813819578},</v>
      </c>
    </row>
    <row r="44" spans="3:13" hidden="1" x14ac:dyDescent="0.25">
      <c r="C44">
        <v>5</v>
      </c>
      <c r="D44">
        <f>VLOOKUP(C44,Лист1!$B$3:$E$20,4,0)</f>
        <v>0</v>
      </c>
      <c r="E44">
        <v>3</v>
      </c>
      <c r="F44">
        <v>0.24376199616122843</v>
      </c>
      <c r="G44">
        <v>3.2419988621035936</v>
      </c>
      <c r="H44">
        <f>G44^2</f>
        <v>10.510556621880996</v>
      </c>
      <c r="I44" t="str">
        <f>IF(AND(F44&gt;0,F44&lt;1),"ok","NO")</f>
        <v>ok</v>
      </c>
      <c r="J44" t="str">
        <f>IF(AND(G44&lt;1+D44,I44="ok"),"yes","NO")</f>
        <v>NO</v>
      </c>
      <c r="M44" t="str">
        <f>"{"&amp;Лист2!C44&amp;", "&amp;E44&amp;", "&amp;H44&amp;", "&amp;F44&amp;"},"</f>
        <v>{5, 3, 10,510556621881, 0,243761996161228},</v>
      </c>
    </row>
    <row r="45" spans="3:13" hidden="1" x14ac:dyDescent="0.25">
      <c r="C45">
        <v>6</v>
      </c>
      <c r="D45">
        <f>VLOOKUP(C45,Лист1!$B$3:$E$20,4,0)</f>
        <v>0</v>
      </c>
      <c r="E45">
        <v>3</v>
      </c>
      <c r="F45" s="38">
        <v>0.12859884836852209</v>
      </c>
      <c r="G45" s="38">
        <v>2.5191207374453599</v>
      </c>
      <c r="H45">
        <f>G45^2</f>
        <v>6.3459692898272539</v>
      </c>
      <c r="I45" t="str">
        <f>IF(AND(F45&gt;0,F45&lt;1),"ok","NO")</f>
        <v>ok</v>
      </c>
      <c r="J45" t="str">
        <f>IF(AND(G45&lt;1+D45,I45="ok"),"yes","NO")</f>
        <v>NO</v>
      </c>
      <c r="M45" t="str">
        <f>"{"&amp;Лист2!C45&amp;", "&amp;E45&amp;", "&amp;H45&amp;", "&amp;F45&amp;"},"</f>
        <v>{6, 3, 6,34596928982725, 0,128598848368522},</v>
      </c>
    </row>
    <row r="46" spans="3:13" hidden="1" x14ac:dyDescent="0.25">
      <c r="C46">
        <v>7</v>
      </c>
      <c r="D46">
        <f>VLOOKUP(C46,Лист1!$B$3:$E$20,4,0)</f>
        <v>0</v>
      </c>
      <c r="E46">
        <v>3</v>
      </c>
      <c r="F46" s="38">
        <v>0.11132437619961613</v>
      </c>
      <c r="G46" s="38">
        <v>1.840053408220959</v>
      </c>
      <c r="H46">
        <f>G46^2</f>
        <v>3.3857965451055669</v>
      </c>
      <c r="I46" t="str">
        <f>IF(AND(F46&gt;0,F46&lt;1),"ok","NO")</f>
        <v>ok</v>
      </c>
      <c r="J46" t="str">
        <f>IF(AND(G46&lt;1+D46,I46="ok"),"yes","NO")</f>
        <v>NO</v>
      </c>
      <c r="M46" t="str">
        <f>"{"&amp;Лист2!C46&amp;", "&amp;E46&amp;", "&amp;H46&amp;", "&amp;F46&amp;"},"</f>
        <v>{7, 3, 3,38579654510557, 0,111324376199616},</v>
      </c>
    </row>
    <row r="47" spans="3:13" x14ac:dyDescent="0.25">
      <c r="C47">
        <v>8</v>
      </c>
      <c r="D47">
        <f>VLOOKUP(C47,Лист1!$B$3:$E$20,4,0)</f>
        <v>0</v>
      </c>
      <c r="E47">
        <v>2</v>
      </c>
      <c r="F47" s="38">
        <v>0.6283783783783784</v>
      </c>
      <c r="G47" s="38">
        <v>0.1743714581157336</v>
      </c>
      <c r="H47">
        <f>G47^2</f>
        <v>3.0405405405407034E-2</v>
      </c>
      <c r="I47" t="str">
        <f>IF(AND(F47&gt;0,F47&lt;1),"ok","NO")</f>
        <v>ok</v>
      </c>
      <c r="J47" t="str">
        <f>IF(AND(G47&lt;1+D47,I47="ok"),"yes","NO")</f>
        <v>yes</v>
      </c>
      <c r="M47" t="str">
        <f>"{"&amp;Лист2!C47&amp;", "&amp;E47&amp;", "&amp;H47&amp;", "&amp;F47&amp;"},"</f>
        <v>{8, 2, 0,030405405405407, 0,628378378378378},</v>
      </c>
    </row>
    <row r="48" spans="3:13" x14ac:dyDescent="0.25">
      <c r="C48">
        <v>5</v>
      </c>
      <c r="D48">
        <f>VLOOKUP(C48,Лист1!$B$3:$E$20,4,0)</f>
        <v>0</v>
      </c>
      <c r="E48">
        <v>1</v>
      </c>
      <c r="F48" s="38">
        <v>0.74796747967479682</v>
      </c>
      <c r="G48" s="38">
        <v>0.62469504755441319</v>
      </c>
      <c r="H48">
        <f>G48^2</f>
        <v>0.39024390243901053</v>
      </c>
      <c r="I48" t="str">
        <f>IF(AND(F48&gt;0,F48&lt;1),"ok","NO")</f>
        <v>ok</v>
      </c>
      <c r="J48" t="str">
        <f>IF(AND(G48&lt;1+D48,I48="ok"),"yes","NO")</f>
        <v>yes</v>
      </c>
      <c r="M48" t="str">
        <f>"{"&amp;Лист2!C48&amp;", "&amp;E48&amp;", "&amp;H48&amp;", "&amp;F48&amp;"},"</f>
        <v>{5, 1, 0,390243902439011, 0,747967479674797},</v>
      </c>
    </row>
    <row r="49" spans="3:13" x14ac:dyDescent="0.25">
      <c r="C49">
        <v>9</v>
      </c>
      <c r="D49">
        <f>VLOOKUP(C49,Лист1!$B$3:$E$20,4,0)</f>
        <v>0</v>
      </c>
      <c r="E49">
        <v>2</v>
      </c>
      <c r="F49">
        <v>0.7567567567567568</v>
      </c>
      <c r="G49">
        <v>0.34874291623146719</v>
      </c>
      <c r="H49">
        <f>G49^2</f>
        <v>0.12162162162162814</v>
      </c>
      <c r="I49" t="str">
        <f>IF(AND(F49&gt;0,F49&lt;1),"ok","NO")</f>
        <v>ok</v>
      </c>
      <c r="J49" t="str">
        <f>IF(AND(G49&lt;1+D49,I49="ok"),"yes","NO")</f>
        <v>yes</v>
      </c>
      <c r="M49" t="str">
        <f>"{"&amp;Лист2!C49&amp;", "&amp;E49&amp;", "&amp;H49&amp;", "&amp;F49&amp;"},"</f>
        <v>{9, 2, 0,121621621621628, 0,756756756756757},</v>
      </c>
    </row>
    <row r="50" spans="3:13" x14ac:dyDescent="0.25">
      <c r="C50">
        <v>1</v>
      </c>
      <c r="D50">
        <f>VLOOKUP(C50,Лист1!$B$3:$E$20,4,0)</f>
        <v>0</v>
      </c>
      <c r="E50">
        <v>1</v>
      </c>
      <c r="F50" s="38">
        <v>0.845528455284553</v>
      </c>
      <c r="G50" s="38">
        <v>0.54660816661010669</v>
      </c>
      <c r="H50">
        <f>G50^2</f>
        <v>0.29878048780486216</v>
      </c>
      <c r="I50" t="str">
        <f>IF(AND(F50&gt;0,F50&lt;1),"ok","NO")</f>
        <v>ok</v>
      </c>
      <c r="J50" t="str">
        <f>IF(AND(G50&lt;1+D50,I50="ok"),"yes","NO")</f>
        <v>yes</v>
      </c>
      <c r="M50" t="str">
        <f>"{"&amp;Лист2!C50&amp;", "&amp;E50&amp;", "&amp;H50&amp;", "&amp;F50&amp;"},"</f>
        <v>{1, 1, 0,298780487804862, 0,845528455284553},</v>
      </c>
    </row>
    <row r="51" spans="3:13" ht="15.75" customHeight="1" x14ac:dyDescent="0.25">
      <c r="C51">
        <v>12</v>
      </c>
      <c r="D51">
        <f>VLOOKUP(C51,Лист1!$B$3:$E$20,4,0)</f>
        <v>0</v>
      </c>
      <c r="E51">
        <v>3</v>
      </c>
      <c r="F51">
        <v>0.92322456813819598</v>
      </c>
      <c r="G51">
        <v>0.48191874977215216</v>
      </c>
      <c r="H51">
        <f>G51^2</f>
        <v>0.2322456813819542</v>
      </c>
      <c r="I51" t="str">
        <f>IF(AND(F51&gt;0,F51&lt;1),"ok","NO")</f>
        <v>ok</v>
      </c>
      <c r="J51" t="str">
        <f>IF(AND(G51&lt;1+D51,I51="ok"),"yes","NO")</f>
        <v>yes</v>
      </c>
      <c r="M51" t="str">
        <f>"{"&amp;Лист2!C51&amp;", "&amp;E51&amp;", "&amp;H51&amp;", "&amp;F51&amp;"},"</f>
        <v>{12, 3, 0,232245681381954, 0,923224568138196},</v>
      </c>
    </row>
    <row r="52" spans="3:13" hidden="1" x14ac:dyDescent="0.25">
      <c r="C52">
        <v>13</v>
      </c>
      <c r="D52">
        <f>VLOOKUP(C52,Лист1!$B$3:$E$20,4,0)</f>
        <v>0</v>
      </c>
      <c r="E52">
        <v>3</v>
      </c>
      <c r="F52">
        <v>-1.9193857965451057E-3</v>
      </c>
      <c r="G52">
        <v>5.1477684634753018</v>
      </c>
      <c r="H52">
        <f>G52^2</f>
        <v>26.499520153550868</v>
      </c>
      <c r="I52" t="str">
        <f>IF(AND(F52&gt;0,F52&lt;1),"ok","NO")</f>
        <v>NO</v>
      </c>
      <c r="J52" t="str">
        <f>IF(AND(G52&lt;1+D52,I52="ok"),"yes","NO")</f>
        <v>NO</v>
      </c>
      <c r="M52" t="str">
        <f>"{"&amp;Лист2!C52&amp;", "&amp;E52&amp;", "&amp;H52&amp;", "&amp;F52&amp;"},"</f>
        <v>{13, 3, 26,4995201535509, -0,00191938579654511},</v>
      </c>
    </row>
    <row r="53" spans="3:13" hidden="1" x14ac:dyDescent="0.25">
      <c r="C53">
        <v>14</v>
      </c>
      <c r="D53">
        <f>VLOOKUP(C53,Лист1!$B$3:$E$20,4,0)</f>
        <v>0</v>
      </c>
      <c r="E53">
        <v>3</v>
      </c>
      <c r="F53">
        <v>0.72744721689059522</v>
      </c>
      <c r="G53">
        <v>10.843171869873506</v>
      </c>
      <c r="H53">
        <f>G53^2</f>
        <v>117.57437619961611</v>
      </c>
      <c r="I53" t="str">
        <f>IF(AND(F53&gt;0,F53&lt;1),"ok","NO")</f>
        <v>ok</v>
      </c>
      <c r="J53" t="str">
        <f>IF(AND(G53&lt;1+D53,I53="ok"),"yes","NO")</f>
        <v>NO</v>
      </c>
      <c r="M53" t="str">
        <f>"{"&amp;Лист2!C53&amp;", "&amp;E53&amp;", "&amp;H53&amp;", "&amp;F53&amp;"},"</f>
        <v>{14, 3, 117,574376199616, 0,727447216890595},</v>
      </c>
    </row>
    <row r="54" spans="3:13" hidden="1" x14ac:dyDescent="0.25">
      <c r="C54">
        <v>15</v>
      </c>
      <c r="D54">
        <f>VLOOKUP(C54,Лист1!$B$3:$E$20,4,0)</f>
        <v>0</v>
      </c>
      <c r="E54">
        <v>3</v>
      </c>
      <c r="F54">
        <v>-0.46257197696737051</v>
      </c>
      <c r="G54">
        <v>3.3734312484050903</v>
      </c>
      <c r="H54">
        <f>G54^2</f>
        <v>11.380038387715926</v>
      </c>
      <c r="I54" t="str">
        <f>IF(AND(F54&gt;0,F54&lt;1),"ok","NO")</f>
        <v>NO</v>
      </c>
      <c r="J54" t="str">
        <f>IF(AND(G54&lt;1+D54,I54="ok"),"yes","NO")</f>
        <v>NO</v>
      </c>
      <c r="M54" t="str">
        <f>"{"&amp;Лист2!C54&amp;", "&amp;E54&amp;", "&amp;H54&amp;", "&amp;F54&amp;"},"</f>
        <v>{15, 3, 11,3800383877159, -0,462571976967371},</v>
      </c>
    </row>
    <row r="55" spans="3:13" hidden="1" x14ac:dyDescent="0.25">
      <c r="C55">
        <v>16</v>
      </c>
      <c r="D55">
        <f>VLOOKUP(C55,Лист1!$B$3:$E$20,4,0)</f>
        <v>0</v>
      </c>
      <c r="E55">
        <v>3</v>
      </c>
      <c r="F55">
        <v>1.5355086372360846E-2</v>
      </c>
      <c r="G55">
        <v>6.9440110762624272</v>
      </c>
      <c r="H55">
        <f>G55^2</f>
        <v>48.219289827255274</v>
      </c>
      <c r="I55" t="str">
        <f>IF(AND(F55&gt;0,F55&lt;1),"ok","NO")</f>
        <v>ok</v>
      </c>
      <c r="J55" t="str">
        <f>IF(AND(G55&lt;1+D55,I55="ok"),"yes","NO")</f>
        <v>NO</v>
      </c>
      <c r="M55" t="str">
        <f>"{"&amp;Лист2!C55&amp;", "&amp;E55&amp;", "&amp;H55&amp;", "&amp;F55&amp;"},"</f>
        <v>{16, 3, 48,2192898272553, 0,0153550863723608},</v>
      </c>
    </row>
    <row r="56" spans="3:13" hidden="1" x14ac:dyDescent="0.25">
      <c r="C56">
        <v>17</v>
      </c>
      <c r="D56">
        <f>VLOOKUP(C56,Лист1!$B$3:$E$20,4,0)</f>
        <v>1</v>
      </c>
      <c r="E56">
        <v>3</v>
      </c>
      <c r="F56">
        <v>0.2428023032629559</v>
      </c>
      <c r="G56">
        <v>5.0382414748907198</v>
      </c>
      <c r="H56">
        <f>G56^2</f>
        <v>25.383877159309016</v>
      </c>
      <c r="I56" t="str">
        <f>IF(AND(F56&gt;0,F56&lt;1),"ok","NO")</f>
        <v>ok</v>
      </c>
      <c r="J56" t="str">
        <f>IF(AND(G56&lt;1+D56,I56="ok"),"yes","NO")</f>
        <v>NO</v>
      </c>
      <c r="M56" t="str">
        <f>"{"&amp;Лист2!C56&amp;", "&amp;E56&amp;", "&amp;H56&amp;", "&amp;F56&amp;"},"</f>
        <v>{17, 3, 25,383877159309, 0,242802303262956},</v>
      </c>
    </row>
    <row r="57" spans="3:13" hidden="1" x14ac:dyDescent="0.25">
      <c r="C57">
        <v>0</v>
      </c>
      <c r="D57">
        <f>VLOOKUP(C57,Лист1!$B$3:$E$20,4,0)</f>
        <v>0</v>
      </c>
      <c r="E57">
        <v>4</v>
      </c>
      <c r="F57">
        <v>0.65</v>
      </c>
      <c r="G57">
        <v>4.5</v>
      </c>
      <c r="H57">
        <f>G57^2</f>
        <v>20.25</v>
      </c>
      <c r="I57" t="str">
        <f>IF(AND(F57&gt;0,F57&lt;1),"ok","NO")</f>
        <v>ok</v>
      </c>
      <c r="J57" t="str">
        <f>IF(AND(G57&lt;1+D57,I57="ok"),"yes","NO")</f>
        <v>NO</v>
      </c>
      <c r="M57" t="str">
        <f>"{"&amp;Лист2!C57&amp;", "&amp;E57&amp;", "&amp;H57&amp;", "&amp;F57&amp;"},"</f>
        <v>{0, 4, 20,25, 0,65},</v>
      </c>
    </row>
    <row r="58" spans="3:13" hidden="1" x14ac:dyDescent="0.25">
      <c r="C58">
        <v>1</v>
      </c>
      <c r="D58">
        <f>VLOOKUP(C58,Лист1!$B$3:$E$20,4,0)</f>
        <v>0</v>
      </c>
      <c r="E58">
        <v>4</v>
      </c>
      <c r="F58">
        <v>0.85</v>
      </c>
      <c r="G58">
        <v>7.5</v>
      </c>
      <c r="H58">
        <f>G58^2</f>
        <v>56.25</v>
      </c>
      <c r="I58" t="str">
        <f>IF(AND(F58&gt;0,F58&lt;1),"ok","NO")</f>
        <v>ok</v>
      </c>
      <c r="J58" t="str">
        <f>IF(AND(G58&lt;1+D58,I58="ok"),"yes","NO")</f>
        <v>NO</v>
      </c>
      <c r="M58" t="str">
        <f>"{"&amp;Лист2!C58&amp;", "&amp;E58&amp;", "&amp;H58&amp;", "&amp;F58&amp;"},"</f>
        <v>{1, 4, 56,25, 0,85},</v>
      </c>
    </row>
    <row r="59" spans="3:13" hidden="1" x14ac:dyDescent="0.25">
      <c r="C59">
        <v>2</v>
      </c>
      <c r="D59">
        <f>VLOOKUP(C59,Лист1!$B$3:$E$20,4,0)</f>
        <v>0</v>
      </c>
      <c r="E59">
        <v>4</v>
      </c>
      <c r="F59">
        <v>1</v>
      </c>
      <c r="G59">
        <v>7.5</v>
      </c>
      <c r="H59">
        <f>G59^2</f>
        <v>56.25</v>
      </c>
      <c r="I59" t="str">
        <f>IF(AND(F59&gt;0,F59&lt;1),"ok","NO")</f>
        <v>NO</v>
      </c>
      <c r="J59" t="str">
        <f>IF(AND(G59&lt;1+D59,I59="ok"),"yes","NO")</f>
        <v>NO</v>
      </c>
      <c r="M59" t="str">
        <f>"{"&amp;Лист2!C59&amp;", "&amp;E59&amp;", "&amp;H59&amp;", "&amp;F59&amp;"},"</f>
        <v>{2, 4, 56,25, 1},</v>
      </c>
    </row>
    <row r="60" spans="3:13" hidden="1" x14ac:dyDescent="0.25">
      <c r="C60">
        <v>3</v>
      </c>
      <c r="D60">
        <f>VLOOKUP(C60,Лист1!$B$3:$E$20,4,0)</f>
        <v>0</v>
      </c>
      <c r="E60">
        <v>4</v>
      </c>
      <c r="F60">
        <v>0.45</v>
      </c>
      <c r="G60">
        <v>12</v>
      </c>
      <c r="H60">
        <f>G60^2</f>
        <v>144</v>
      </c>
      <c r="I60" t="str">
        <f>IF(AND(F60&gt;0,F60&lt;1),"ok","NO")</f>
        <v>ok</v>
      </c>
      <c r="J60" t="str">
        <f>IF(AND(G60&lt;1+D60,I60="ok"),"yes","NO")</f>
        <v>NO</v>
      </c>
      <c r="M60" t="str">
        <f>"{"&amp;Лист2!C60&amp;", "&amp;E60&amp;", "&amp;H60&amp;", "&amp;F60&amp;"},"</f>
        <v>{3, 4, 144, 0,45},</v>
      </c>
    </row>
    <row r="61" spans="3:13" hidden="1" x14ac:dyDescent="0.25">
      <c r="C61">
        <v>4</v>
      </c>
      <c r="D61">
        <f>VLOOKUP(C61,Лист1!$B$3:$E$20,4,0)</f>
        <v>0</v>
      </c>
      <c r="E61">
        <v>4</v>
      </c>
      <c r="F61">
        <v>0.25</v>
      </c>
      <c r="G61">
        <v>11.5</v>
      </c>
      <c r="H61">
        <f>G61^2</f>
        <v>132.25</v>
      </c>
      <c r="I61" t="str">
        <f>IF(AND(F61&gt;0,F61&lt;1),"ok","NO")</f>
        <v>ok</v>
      </c>
      <c r="J61" t="str">
        <f>IF(AND(G61&lt;1+D61,I61="ok"),"yes","NO")</f>
        <v>NO</v>
      </c>
      <c r="M61" t="str">
        <f>"{"&amp;Лист2!C61&amp;", "&amp;E61&amp;", "&amp;H61&amp;", "&amp;F61&amp;"},"</f>
        <v>{4, 4, 132,25, 0,25},</v>
      </c>
    </row>
    <row r="62" spans="3:13" hidden="1" x14ac:dyDescent="0.25">
      <c r="C62">
        <v>5</v>
      </c>
      <c r="D62">
        <f>VLOOKUP(C62,Лист1!$B$3:$E$20,4,0)</f>
        <v>0</v>
      </c>
      <c r="E62">
        <v>4</v>
      </c>
      <c r="F62">
        <v>0.85</v>
      </c>
      <c r="G62">
        <v>9</v>
      </c>
      <c r="H62">
        <f>G62^2</f>
        <v>81</v>
      </c>
      <c r="I62" t="str">
        <f>IF(AND(F62&gt;0,F62&lt;1),"ok","NO")</f>
        <v>ok</v>
      </c>
      <c r="J62" t="str">
        <f>IF(AND(G62&lt;1+D62,I62="ok"),"yes","NO")</f>
        <v>NO</v>
      </c>
      <c r="M62" t="str">
        <f>"{"&amp;Лист2!C62&amp;", "&amp;E62&amp;", "&amp;H62&amp;", "&amp;F62&amp;"},"</f>
        <v>{5, 4, 81, 0,85},</v>
      </c>
    </row>
    <row r="63" spans="3:13" hidden="1" x14ac:dyDescent="0.25">
      <c r="C63">
        <v>6</v>
      </c>
      <c r="D63">
        <f>VLOOKUP(C63,Лист1!$B$3:$E$20,4,0)</f>
        <v>0</v>
      </c>
      <c r="E63">
        <v>4</v>
      </c>
      <c r="F63">
        <v>0.7</v>
      </c>
      <c r="G63">
        <v>9</v>
      </c>
      <c r="H63">
        <f>G63^2</f>
        <v>81</v>
      </c>
      <c r="I63" t="str">
        <f>IF(AND(F63&gt;0,F63&lt;1),"ok","NO")</f>
        <v>ok</v>
      </c>
      <c r="J63" t="str">
        <f>IF(AND(G63&lt;1+D63,I63="ok"),"yes","NO")</f>
        <v>NO</v>
      </c>
      <c r="M63" t="str">
        <f>"{"&amp;Лист2!C63&amp;", "&amp;E63&amp;", "&amp;H63&amp;", "&amp;F63&amp;"},"</f>
        <v>{6, 4, 81, 0,7},</v>
      </c>
    </row>
    <row r="64" spans="3:13" hidden="1" x14ac:dyDescent="0.25">
      <c r="C64">
        <v>7</v>
      </c>
      <c r="D64">
        <f>VLOOKUP(C64,Лист1!$B$3:$E$20,4,0)</f>
        <v>0</v>
      </c>
      <c r="E64">
        <v>4</v>
      </c>
      <c r="F64">
        <v>0.65</v>
      </c>
      <c r="G64">
        <v>8.5</v>
      </c>
      <c r="H64">
        <f>G64^2</f>
        <v>72.25</v>
      </c>
      <c r="I64" t="str">
        <f>IF(AND(F64&gt;0,F64&lt;1),"ok","NO")</f>
        <v>ok</v>
      </c>
      <c r="J64" t="str">
        <f>IF(AND(G64&lt;1+D64,I64="ok"),"yes","NO")</f>
        <v>NO</v>
      </c>
      <c r="M64" t="str">
        <f>"{"&amp;Лист2!C64&amp;", "&amp;E64&amp;", "&amp;H64&amp;", "&amp;F64&amp;"},"</f>
        <v>{7, 4, 72,25, 0,65},</v>
      </c>
    </row>
    <row r="65" spans="3:13" hidden="1" x14ac:dyDescent="0.25">
      <c r="C65">
        <v>8</v>
      </c>
      <c r="D65">
        <f>VLOOKUP(C65,Лист1!$B$3:$E$20,4,0)</f>
        <v>0</v>
      </c>
      <c r="E65">
        <v>4</v>
      </c>
      <c r="F65">
        <v>0.65</v>
      </c>
      <c r="G65">
        <v>6.9999999999999991</v>
      </c>
      <c r="H65">
        <f>G65^2</f>
        <v>48.999999999999986</v>
      </c>
      <c r="I65" t="str">
        <f>IF(AND(F65&gt;0,F65&lt;1),"ok","NO")</f>
        <v>ok</v>
      </c>
      <c r="J65" t="str">
        <f>IF(AND(G65&lt;1+D65,I65="ok"),"yes","NO")</f>
        <v>NO</v>
      </c>
      <c r="M65" t="str">
        <f>"{"&amp;Лист2!C65&amp;", "&amp;E65&amp;", "&amp;H65&amp;", "&amp;F65&amp;"},"</f>
        <v>{8, 4, 49, 0,65},</v>
      </c>
    </row>
    <row r="66" spans="3:13" hidden="1" x14ac:dyDescent="0.25">
      <c r="C66">
        <v>9</v>
      </c>
      <c r="D66">
        <f>VLOOKUP(C66,Лист1!$B$3:$E$20,4,0)</f>
        <v>0</v>
      </c>
      <c r="E66">
        <v>4</v>
      </c>
      <c r="F66">
        <v>0.55000000000000004</v>
      </c>
      <c r="G66">
        <v>6.5000000000000009</v>
      </c>
      <c r="H66">
        <f>G66^2</f>
        <v>42.250000000000014</v>
      </c>
      <c r="I66" t="str">
        <f>IF(AND(F66&gt;0,F66&lt;1),"ok","NO")</f>
        <v>ok</v>
      </c>
      <c r="J66" t="str">
        <f>IF(AND(G66&lt;1+D66,I66="ok"),"yes","NO")</f>
        <v>NO</v>
      </c>
      <c r="M66" t="str">
        <f>"{"&amp;Лист2!C66&amp;", "&amp;E66&amp;", "&amp;H66&amp;", "&amp;F66&amp;"},"</f>
        <v>{9, 4, 42,25, 0,55},</v>
      </c>
    </row>
    <row r="67" spans="3:13" hidden="1" x14ac:dyDescent="0.25">
      <c r="C67">
        <v>10</v>
      </c>
      <c r="D67">
        <f>VLOOKUP(C67,Лист1!$B$3:$E$20,4,0)</f>
        <v>0</v>
      </c>
      <c r="E67">
        <v>4</v>
      </c>
      <c r="F67">
        <v>0.5</v>
      </c>
      <c r="G67">
        <v>7.5</v>
      </c>
      <c r="H67">
        <f>G67^2</f>
        <v>56.25</v>
      </c>
      <c r="I67" t="str">
        <f>IF(AND(F67&gt;0,F67&lt;1),"ok","NO")</f>
        <v>ok</v>
      </c>
      <c r="J67" t="str">
        <f>IF(AND(G67&lt;1+D67,I67="ok"),"yes","NO")</f>
        <v>NO</v>
      </c>
      <c r="M67" t="str">
        <f>"{"&amp;Лист2!C67&amp;", "&amp;E67&amp;", "&amp;H67&amp;", "&amp;F67&amp;"},"</f>
        <v>{10, 4, 56,25, 0,5},</v>
      </c>
    </row>
    <row r="68" spans="3:13" hidden="1" x14ac:dyDescent="0.25">
      <c r="C68">
        <v>11</v>
      </c>
      <c r="D68">
        <f>VLOOKUP(C68,Лист1!$B$3:$E$20,4,0)</f>
        <v>0</v>
      </c>
      <c r="E68">
        <v>4</v>
      </c>
      <c r="F68">
        <v>0.95</v>
      </c>
      <c r="G68">
        <v>5.5</v>
      </c>
      <c r="H68">
        <f>G68^2</f>
        <v>30.25</v>
      </c>
      <c r="I68" t="str">
        <f>IF(AND(F68&gt;0,F68&lt;1),"ok","NO")</f>
        <v>ok</v>
      </c>
      <c r="J68" t="str">
        <f>IF(AND(G68&lt;1+D68,I68="ok"),"yes","NO")</f>
        <v>NO</v>
      </c>
      <c r="M68" t="str">
        <f>"{"&amp;Лист2!C68&amp;", "&amp;E68&amp;", "&amp;H68&amp;", "&amp;F68&amp;"},"</f>
        <v>{11, 4, 30,25, 0,95},</v>
      </c>
    </row>
    <row r="69" spans="3:13" hidden="1" x14ac:dyDescent="0.25">
      <c r="C69">
        <v>12</v>
      </c>
      <c r="D69">
        <f>VLOOKUP(C69,Лист1!$B$3:$E$20,4,0)</f>
        <v>0</v>
      </c>
      <c r="E69">
        <v>4</v>
      </c>
      <c r="F69">
        <v>1.35</v>
      </c>
      <c r="G69">
        <v>2.0000000000000071</v>
      </c>
      <c r="H69">
        <f>G69^2</f>
        <v>4.0000000000000284</v>
      </c>
      <c r="I69" t="str">
        <f>IF(AND(F69&gt;0,F69&lt;1),"ok","NO")</f>
        <v>NO</v>
      </c>
      <c r="J69" t="str">
        <f>IF(AND(G69&lt;1+D69,I69="ok"),"yes","NO")</f>
        <v>NO</v>
      </c>
      <c r="M69" t="str">
        <f>"{"&amp;Лист2!C69&amp;", "&amp;E69&amp;", "&amp;H69&amp;", "&amp;F69&amp;"},"</f>
        <v>{12, 4, 4,00000000000003, 1,35},</v>
      </c>
    </row>
    <row r="70" spans="3:13" hidden="1" x14ac:dyDescent="0.25">
      <c r="C70">
        <v>13</v>
      </c>
      <c r="D70">
        <f>VLOOKUP(C70,Лист1!$B$3:$E$20,4,0)</f>
        <v>0</v>
      </c>
      <c r="E70">
        <v>4</v>
      </c>
      <c r="F70">
        <v>0.2</v>
      </c>
      <c r="G70">
        <v>2.9999999999999996</v>
      </c>
      <c r="H70">
        <f>G70^2</f>
        <v>8.9999999999999964</v>
      </c>
      <c r="I70" t="str">
        <f>IF(AND(F70&gt;0,F70&lt;1),"ok","NO")</f>
        <v>ok</v>
      </c>
      <c r="J70" t="str">
        <f>IF(AND(G70&lt;1+D70,I70="ok"),"yes","NO")</f>
        <v>NO</v>
      </c>
      <c r="M70" t="str">
        <f>"{"&amp;Лист2!C70&amp;", "&amp;E70&amp;", "&amp;H70&amp;", "&amp;F70&amp;"},"</f>
        <v>{13, 4, 9, 0,2},</v>
      </c>
    </row>
    <row r="71" spans="3:13" hidden="1" x14ac:dyDescent="0.25">
      <c r="C71">
        <v>14</v>
      </c>
      <c r="D71">
        <f>VLOOKUP(C71,Лист1!$B$3:$E$20,4,0)</f>
        <v>0</v>
      </c>
      <c r="E71">
        <v>4</v>
      </c>
      <c r="F71">
        <v>1.7</v>
      </c>
      <c r="G71">
        <v>12.999999999999998</v>
      </c>
      <c r="H71">
        <f>G71^2</f>
        <v>168.99999999999994</v>
      </c>
      <c r="I71" t="str">
        <f>IF(AND(F71&gt;0,F71&lt;1),"ok","NO")</f>
        <v>NO</v>
      </c>
      <c r="J71" t="str">
        <f>IF(AND(G71&lt;1+D71,I71="ok"),"yes","NO")</f>
        <v>NO</v>
      </c>
      <c r="M71" t="str">
        <f>"{"&amp;Лист2!C71&amp;", "&amp;E71&amp;", "&amp;H71&amp;", "&amp;F71&amp;"},"</f>
        <v>{14, 4, 169, 1,7},</v>
      </c>
    </row>
    <row r="72" spans="3:13" hidden="1" x14ac:dyDescent="0.25">
      <c r="C72">
        <v>15</v>
      </c>
      <c r="D72">
        <f>VLOOKUP(C72,Лист1!$B$3:$E$20,4,0)</f>
        <v>0</v>
      </c>
      <c r="E72">
        <v>4</v>
      </c>
      <c r="F72">
        <v>0.15</v>
      </c>
      <c r="G72">
        <v>13</v>
      </c>
      <c r="H72">
        <f>G72^2</f>
        <v>169</v>
      </c>
      <c r="I72" t="str">
        <f>IF(AND(F72&gt;0,F72&lt;1),"ok","NO")</f>
        <v>ok</v>
      </c>
      <c r="J72" t="str">
        <f>IF(AND(G72&lt;1+D72,I72="ok"),"yes","NO")</f>
        <v>NO</v>
      </c>
      <c r="M72" t="str">
        <f>"{"&amp;Лист2!C72&amp;", "&amp;E72&amp;", "&amp;H72&amp;", "&amp;F72&amp;"},"</f>
        <v>{15, 4, 169, 0,15},</v>
      </c>
    </row>
    <row r="73" spans="3:13" hidden="1" x14ac:dyDescent="0.25">
      <c r="C73">
        <v>16</v>
      </c>
      <c r="D73">
        <f>VLOOKUP(C73,Лист1!$B$3:$E$20,4,0)</f>
        <v>0</v>
      </c>
      <c r="E73">
        <v>4</v>
      </c>
      <c r="F73">
        <v>0.8</v>
      </c>
      <c r="G73">
        <v>13.499999999999998</v>
      </c>
      <c r="H73">
        <f>G73^2</f>
        <v>182.24999999999994</v>
      </c>
      <c r="I73" t="str">
        <f>IF(AND(F73&gt;0,F73&lt;1),"ok","NO")</f>
        <v>ok</v>
      </c>
      <c r="J73" t="str">
        <f>IF(AND(G73&lt;1+D73,I73="ok"),"yes","NO")</f>
        <v>NO</v>
      </c>
      <c r="M73" t="str">
        <f>"{"&amp;Лист2!C73&amp;", "&amp;E73&amp;", "&amp;H73&amp;", "&amp;F73&amp;"},"</f>
        <v>{16, 4, 182,25, 0,8},</v>
      </c>
    </row>
    <row r="74" spans="3:13" x14ac:dyDescent="0.25">
      <c r="C74">
        <v>2</v>
      </c>
      <c r="D74">
        <f>VLOOKUP(C74,Лист1!$B$3:$E$20,4,0)</f>
        <v>0</v>
      </c>
      <c r="E74">
        <v>1</v>
      </c>
      <c r="F74" s="38">
        <v>0.96747967479674812</v>
      </c>
      <c r="G74" s="38">
        <v>0.39043440472148322</v>
      </c>
      <c r="H74">
        <f>G74^2</f>
        <v>0.15243902439021895</v>
      </c>
      <c r="I74" t="str">
        <f>IF(AND(F74&gt;0,F74&lt;1),"ok","NO")</f>
        <v>ok</v>
      </c>
      <c r="J74" t="str">
        <f>IF(AND(G74&lt;1+D74,I74="ok"),"yes","NO")</f>
        <v>yes</v>
      </c>
      <c r="M74" t="str">
        <f>"{"&amp;Лист2!C74&amp;", "&amp;E74&amp;", "&amp;H74&amp;", "&amp;F74&amp;"},"</f>
        <v>{2, 1, 0,152439024390219, 0,967479674796748},</v>
      </c>
    </row>
  </sheetData>
  <autoFilter ref="C2:J74" xr:uid="{9AB3F7F9-529B-49C3-B10D-3D2668992E1C}">
    <filterColumn colId="7">
      <filters>
        <filter val="yes"/>
      </filters>
    </filterColumn>
    <sortState xmlns:xlrd2="http://schemas.microsoft.com/office/spreadsheetml/2017/richdata2" ref="C4:J74">
      <sortCondition ref="F2:F74"/>
    </sortState>
  </autoFilter>
  <phoneticPr fontId="1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andreys</dc:creator>
  <cp:lastModifiedBy>andreys</cp:lastModifiedBy>
  <dcterms:created xsi:type="dcterms:W3CDTF">2026-10-14T15:14:25Z</dcterms:created>
  <dcterms:modified xsi:type="dcterms:W3CDTF">2026-10-14T18:51:11Z</dcterms:modified>
</cp:coreProperties>
</file>